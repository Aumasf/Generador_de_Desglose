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/>
  <mc:AlternateContent xmlns:mc="http://schemas.openxmlformats.org/markup-compatibility/2006">
    <mc:Choice Requires="x15">
      <x15ac:absPath xmlns:x15ac="http://schemas.microsoft.com/office/spreadsheetml/2010/11/ac" url="I:\.shortcut-targets-by-id\1CPAsEzrJITH4pMdKpPKzyopO_uMgl6EF\IBL 2025\LICITACIONES 2025\4 EN PROCESO\DINAC CC\OFERTA\"/>
    </mc:Choice>
  </mc:AlternateContent>
  <xr:revisionPtr revIDLastSave="0" documentId="13_ncr:1_{6BE512BE-3D08-4A16-BDB9-DCBEF7A845CB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Ítems" sheetId="4" r:id="rId1"/>
    <sheet name="COSTEO" sheetId="2" r:id="rId2"/>
    <sheet name="analisis ref" sheetId="3" r:id="rId3"/>
  </sheets>
  <definedNames>
    <definedName name="_xlnm._FilterDatabase" localSheetId="2" hidden="1">'analisis ref'!$C$3:$J$3</definedName>
    <definedName name="_xlnm._FilterDatabase" localSheetId="1" hidden="1">COSTEO!$D$1:$D$75</definedName>
    <definedName name="_xlnm._FilterDatabase" localSheetId="0" hidden="1">Ítems!$B$5:$J$57</definedName>
  </definedNames>
  <calcPr calcId="191029"/>
  <extLst>
    <ext uri="GoogleSheetsCustomDataVersion2">
      <go:sheetsCustomData xmlns:go="http://customooxmlschemas.google.com/" r:id="rId7" roundtripDataChecksum="00o5T3qF1EIRpUv+gr6cMuSUuAjbEonmXZNKr6VTHpU="/>
    </ext>
  </extLst>
</workbook>
</file>

<file path=xl/calcChain.xml><?xml version="1.0" encoding="utf-8"?>
<calcChain xmlns="http://schemas.openxmlformats.org/spreadsheetml/2006/main">
  <c r="O35" i="2" l="1"/>
  <c r="O33" i="2"/>
  <c r="O31" i="2"/>
  <c r="S2" i="2"/>
  <c r="S3" i="2"/>
  <c r="S1" i="2"/>
  <c r="P2" i="2"/>
  <c r="P3" i="2"/>
  <c r="P4" i="2"/>
  <c r="P5" i="2"/>
  <c r="P6" i="2"/>
  <c r="P1" i="2"/>
  <c r="V2" i="2"/>
  <c r="H9" i="2"/>
  <c r="G9" i="2"/>
  <c r="F9" i="2"/>
  <c r="E9" i="2"/>
  <c r="D9" i="2"/>
  <c r="C9" i="2"/>
  <c r="P7" i="2" l="1"/>
  <c r="O61" i="2" l="1"/>
  <c r="O64" i="2"/>
  <c r="O38" i="2"/>
  <c r="O44" i="2"/>
  <c r="O43" i="2"/>
  <c r="O42" i="2"/>
  <c r="O63" i="2" s="1"/>
  <c r="O41" i="2"/>
  <c r="O62" i="2" s="1"/>
  <c r="O40" i="2"/>
  <c r="O37" i="2"/>
  <c r="Q16" i="2"/>
  <c r="Q17" i="2"/>
  <c r="Q18" i="2"/>
  <c r="Q19" i="2"/>
  <c r="Q20" i="2"/>
  <c r="Q22" i="2"/>
  <c r="Q24" i="2"/>
  <c r="Q25" i="2"/>
  <c r="Q15" i="2"/>
  <c r="O21" i="2"/>
  <c r="Q21" i="2" s="1"/>
  <c r="O23" i="2"/>
  <c r="Q23" i="2" s="1"/>
  <c r="O18" i="2"/>
  <c r="O16" i="2"/>
  <c r="P15" i="2" l="1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D1" i="2" l="1"/>
  <c r="D4" i="2" s="1"/>
  <c r="D5" i="2" s="1"/>
  <c r="F14" i="3"/>
  <c r="H14" i="3" s="1"/>
  <c r="F19" i="3"/>
  <c r="H43" i="3"/>
  <c r="H42" i="3"/>
  <c r="H35" i="3"/>
  <c r="H5" i="3"/>
  <c r="H9" i="3"/>
  <c r="F33" i="3"/>
  <c r="H33" i="3" s="1"/>
  <c r="H27" i="3"/>
  <c r="H30" i="3"/>
  <c r="H19" i="3"/>
  <c r="H10" i="3"/>
  <c r="H22" i="3"/>
  <c r="H45" i="3"/>
  <c r="H16" i="3"/>
  <c r="H11" i="3"/>
  <c r="H6" i="3"/>
  <c r="H12" i="3"/>
  <c r="G29" i="3"/>
  <c r="F29" i="3"/>
  <c r="F31" i="3"/>
  <c r="H17" i="3"/>
  <c r="H44" i="3"/>
  <c r="F25" i="3"/>
  <c r="H29" i="3" l="1"/>
  <c r="H21" i="3"/>
  <c r="H41" i="3"/>
  <c r="H39" i="3"/>
  <c r="H4" i="3"/>
  <c r="H38" i="3"/>
  <c r="H40" i="3"/>
  <c r="H20" i="3"/>
  <c r="H23" i="3"/>
  <c r="H8" i="3"/>
  <c r="H31" i="3"/>
  <c r="H7" i="3"/>
  <c r="H37" i="3"/>
  <c r="H34" i="3"/>
  <c r="H47" i="3"/>
  <c r="H46" i="3"/>
  <c r="H15" i="3"/>
  <c r="H13" i="3"/>
  <c r="H18" i="3"/>
  <c r="H32" i="3"/>
  <c r="H28" i="3"/>
  <c r="H25" i="3"/>
  <c r="H36" i="3"/>
  <c r="H24" i="3"/>
  <c r="I24" i="3" s="1"/>
  <c r="H26" i="3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K9" i="2"/>
  <c r="C3" i="2"/>
  <c r="J9" i="2"/>
  <c r="I9" i="2"/>
  <c r="H59" i="2" s="1"/>
  <c r="K59" i="2" s="1"/>
  <c r="R59" i="2" s="1"/>
  <c r="N59" i="2" l="1"/>
  <c r="H50" i="4"/>
  <c r="I50" i="4" s="1"/>
  <c r="H57" i="2"/>
  <c r="H65" i="2"/>
  <c r="H60" i="2"/>
  <c r="H61" i="2"/>
  <c r="H62" i="2"/>
  <c r="H53" i="2"/>
  <c r="H54" i="2"/>
  <c r="H47" i="2"/>
  <c r="H48" i="2"/>
  <c r="H25" i="2"/>
  <c r="H33" i="2"/>
  <c r="H41" i="2"/>
  <c r="H26" i="2"/>
  <c r="H34" i="2"/>
  <c r="H42" i="2"/>
  <c r="H19" i="2"/>
  <c r="H35" i="2"/>
  <c r="H21" i="2"/>
  <c r="H37" i="2"/>
  <c r="H24" i="2"/>
  <c r="H40" i="2"/>
  <c r="H20" i="2"/>
  <c r="H36" i="2"/>
  <c r="H29" i="2"/>
  <c r="H32" i="2"/>
  <c r="H30" i="2"/>
  <c r="H38" i="2"/>
  <c r="H23" i="2"/>
  <c r="H31" i="2"/>
  <c r="H39" i="2"/>
  <c r="H63" i="2"/>
  <c r="H17" i="2"/>
  <c r="H18" i="2"/>
  <c r="H27" i="2"/>
  <c r="H43" i="2"/>
  <c r="H28" i="2"/>
  <c r="H44" i="2"/>
  <c r="H49" i="2"/>
  <c r="H50" i="2"/>
  <c r="H51" i="2"/>
  <c r="H55" i="2"/>
  <c r="H52" i="2"/>
  <c r="H45" i="2"/>
  <c r="H56" i="2"/>
  <c r="H22" i="2"/>
  <c r="H46" i="2"/>
  <c r="H15" i="2"/>
  <c r="H58" i="2"/>
  <c r="H64" i="2"/>
  <c r="H16" i="2"/>
  <c r="M59" i="2"/>
  <c r="J59" i="2"/>
  <c r="I59" i="2" s="1"/>
  <c r="N60" i="2" l="1"/>
  <c r="K60" i="2"/>
  <c r="N16" i="2"/>
  <c r="K16" i="2"/>
  <c r="N27" i="2"/>
  <c r="K27" i="2"/>
  <c r="N25" i="2"/>
  <c r="K25" i="2"/>
  <c r="K23" i="2"/>
  <c r="R23" i="2" s="1"/>
  <c r="N38" i="2"/>
  <c r="K38" i="2"/>
  <c r="N52" i="2"/>
  <c r="K52" i="2"/>
  <c r="N30" i="2"/>
  <c r="K30" i="2"/>
  <c r="R30" i="2" s="1"/>
  <c r="N21" i="2"/>
  <c r="K21" i="2"/>
  <c r="R21" i="2" s="1"/>
  <c r="N65" i="2"/>
  <c r="K65" i="2"/>
  <c r="K64" i="2"/>
  <c r="R64" i="2" s="1"/>
  <c r="K55" i="2"/>
  <c r="R55" i="2" s="1"/>
  <c r="K18" i="2"/>
  <c r="R18" i="2" s="1"/>
  <c r="N32" i="2"/>
  <c r="K32" i="2"/>
  <c r="N35" i="2"/>
  <c r="K35" i="2"/>
  <c r="N48" i="2"/>
  <c r="K48" i="2"/>
  <c r="R48" i="2" s="1"/>
  <c r="N57" i="2"/>
  <c r="K57" i="2"/>
  <c r="R57" i="2" s="1"/>
  <c r="N61" i="2"/>
  <c r="K61" i="2"/>
  <c r="N43" i="2"/>
  <c r="K43" i="2"/>
  <c r="R43" i="2" s="1"/>
  <c r="K17" i="2"/>
  <c r="R17" i="2" s="1"/>
  <c r="N28" i="2"/>
  <c r="K28" i="2"/>
  <c r="N50" i="2"/>
  <c r="K50" i="2"/>
  <c r="K63" i="2"/>
  <c r="R63" i="2" s="1"/>
  <c r="N36" i="2"/>
  <c r="K36" i="2"/>
  <c r="N42" i="2"/>
  <c r="K42" i="2"/>
  <c r="K54" i="2"/>
  <c r="R54" i="2" s="1"/>
  <c r="N24" i="2"/>
  <c r="K24" i="2"/>
  <c r="N37" i="2"/>
  <c r="K37" i="2"/>
  <c r="R37" i="2" s="1"/>
  <c r="N51" i="2"/>
  <c r="K51" i="2"/>
  <c r="R51" i="2" s="1"/>
  <c r="N19" i="2"/>
  <c r="K19" i="2"/>
  <c r="R19" i="2" s="1"/>
  <c r="N46" i="2"/>
  <c r="K46" i="2"/>
  <c r="R46" i="2" s="1"/>
  <c r="N39" i="2"/>
  <c r="K39" i="2"/>
  <c r="R39" i="2" s="1"/>
  <c r="N53" i="2"/>
  <c r="K53" i="2"/>
  <c r="R53" i="2" s="1"/>
  <c r="N56" i="2"/>
  <c r="K56" i="2"/>
  <c r="N41" i="2"/>
  <c r="K41" i="2"/>
  <c r="N45" i="2"/>
  <c r="K45" i="2"/>
  <c r="N33" i="2"/>
  <c r="K33" i="2"/>
  <c r="R33" i="2" s="1"/>
  <c r="N58" i="2"/>
  <c r="K58" i="2"/>
  <c r="R58" i="2" s="1"/>
  <c r="N29" i="2"/>
  <c r="K29" i="2"/>
  <c r="N47" i="2"/>
  <c r="K47" i="2"/>
  <c r="N49" i="2"/>
  <c r="K49" i="2"/>
  <c r="R49" i="2" s="1"/>
  <c r="N20" i="2"/>
  <c r="K20" i="2"/>
  <c r="K34" i="2"/>
  <c r="R34" i="2" s="1"/>
  <c r="N22" i="2"/>
  <c r="K22" i="2"/>
  <c r="R22" i="2" s="1"/>
  <c r="K44" i="2"/>
  <c r="R44" i="2" s="1"/>
  <c r="N31" i="2"/>
  <c r="K31" i="2"/>
  <c r="K40" i="2"/>
  <c r="R40" i="2" s="1"/>
  <c r="N26" i="2"/>
  <c r="K26" i="2"/>
  <c r="R26" i="2" s="1"/>
  <c r="K62" i="2"/>
  <c r="R62" i="2" s="1"/>
  <c r="N15" i="2"/>
  <c r="K15" i="2"/>
  <c r="R15" i="2" s="1"/>
  <c r="N18" i="2"/>
  <c r="N62" i="2"/>
  <c r="N23" i="2"/>
  <c r="N55" i="2"/>
  <c r="N64" i="2"/>
  <c r="N44" i="2"/>
  <c r="N40" i="2"/>
  <c r="N63" i="2"/>
  <c r="N34" i="2"/>
  <c r="N54" i="2"/>
  <c r="N17" i="2"/>
  <c r="M35" i="2" l="1"/>
  <c r="R35" i="2"/>
  <c r="M60" i="2"/>
  <c r="R60" i="2"/>
  <c r="M32" i="2"/>
  <c r="R32" i="2"/>
  <c r="M25" i="2"/>
  <c r="R25" i="2"/>
  <c r="M29" i="2"/>
  <c r="R29" i="2"/>
  <c r="Q6" i="2" s="1"/>
  <c r="M24" i="2"/>
  <c r="R24" i="2"/>
  <c r="M27" i="2"/>
  <c r="R27" i="2"/>
  <c r="M28" i="2"/>
  <c r="R28" i="2"/>
  <c r="M52" i="2"/>
  <c r="R52" i="2"/>
  <c r="M16" i="2"/>
  <c r="R16" i="2"/>
  <c r="M20" i="2"/>
  <c r="R20" i="2"/>
  <c r="M38" i="2"/>
  <c r="R38" i="2"/>
  <c r="M56" i="2"/>
  <c r="R56" i="2"/>
  <c r="M31" i="2"/>
  <c r="R31" i="2"/>
  <c r="M36" i="2"/>
  <c r="R36" i="2"/>
  <c r="M47" i="2"/>
  <c r="R47" i="2"/>
  <c r="M45" i="2"/>
  <c r="R45" i="2"/>
  <c r="M42" i="2"/>
  <c r="R42" i="2"/>
  <c r="M41" i="2"/>
  <c r="R41" i="2"/>
  <c r="M65" i="2"/>
  <c r="R65" i="2"/>
  <c r="M61" i="2"/>
  <c r="R61" i="2"/>
  <c r="M50" i="2"/>
  <c r="R50" i="2"/>
  <c r="M22" i="2"/>
  <c r="M57" i="2"/>
  <c r="M19" i="2"/>
  <c r="M15" i="2"/>
  <c r="J44" i="2"/>
  <c r="I44" i="2" s="1"/>
  <c r="H35" i="4"/>
  <c r="I35" i="4" s="1"/>
  <c r="J33" i="2"/>
  <c r="I33" i="2" s="1"/>
  <c r="H24" i="4"/>
  <c r="I24" i="4" s="1"/>
  <c r="H42" i="4"/>
  <c r="I42" i="4" s="1"/>
  <c r="J51" i="2"/>
  <c r="I51" i="2" s="1"/>
  <c r="J42" i="2"/>
  <c r="I42" i="2" s="1"/>
  <c r="H33" i="4"/>
  <c r="I33" i="4" s="1"/>
  <c r="H48" i="4"/>
  <c r="I48" i="4" s="1"/>
  <c r="J57" i="2"/>
  <c r="I57" i="2" s="1"/>
  <c r="M21" i="2"/>
  <c r="J21" i="2"/>
  <c r="I21" i="2" s="1"/>
  <c r="H12" i="4"/>
  <c r="I12" i="4" s="1"/>
  <c r="J60" i="2"/>
  <c r="I60" i="2" s="1"/>
  <c r="H51" i="4"/>
  <c r="I51" i="4" s="1"/>
  <c r="M44" i="2"/>
  <c r="H13" i="4"/>
  <c r="I13" i="4" s="1"/>
  <c r="J22" i="2"/>
  <c r="I22" i="2" s="1"/>
  <c r="J45" i="2"/>
  <c r="I45" i="2" s="1"/>
  <c r="H36" i="4"/>
  <c r="I36" i="4" s="1"/>
  <c r="H28" i="4"/>
  <c r="I28" i="4" s="1"/>
  <c r="J37" i="2"/>
  <c r="I37" i="2" s="1"/>
  <c r="J17" i="2"/>
  <c r="I17" i="2" s="1"/>
  <c r="H8" i="4"/>
  <c r="I8" i="4" s="1"/>
  <c r="J55" i="2"/>
  <c r="I55" i="2" s="1"/>
  <c r="H46" i="4"/>
  <c r="I46" i="4" s="1"/>
  <c r="H16" i="4"/>
  <c r="I16" i="4" s="1"/>
  <c r="J25" i="2"/>
  <c r="I25" i="2" s="1"/>
  <c r="H53" i="4"/>
  <c r="I53" i="4" s="1"/>
  <c r="J62" i="2"/>
  <c r="I62" i="2" s="1"/>
  <c r="H40" i="4"/>
  <c r="I40" i="4" s="1"/>
  <c r="J49" i="2"/>
  <c r="I49" i="2" s="1"/>
  <c r="J53" i="2"/>
  <c r="I53" i="2" s="1"/>
  <c r="H44" i="4"/>
  <c r="I44" i="4" s="1"/>
  <c r="J28" i="2"/>
  <c r="I28" i="2" s="1"/>
  <c r="H19" i="4"/>
  <c r="I19" i="4" s="1"/>
  <c r="J18" i="2"/>
  <c r="I18" i="2" s="1"/>
  <c r="H9" i="4"/>
  <c r="I9" i="4" s="1"/>
  <c r="H14" i="4"/>
  <c r="I14" i="4" s="1"/>
  <c r="J23" i="2"/>
  <c r="I23" i="2" s="1"/>
  <c r="M62" i="2"/>
  <c r="M18" i="2"/>
  <c r="M23" i="2"/>
  <c r="H17" i="4"/>
  <c r="I17" i="4" s="1"/>
  <c r="J26" i="2"/>
  <c r="I26" i="2" s="1"/>
  <c r="J47" i="2"/>
  <c r="I47" i="2" s="1"/>
  <c r="H38" i="4"/>
  <c r="I38" i="4" s="1"/>
  <c r="J39" i="2"/>
  <c r="I39" i="2" s="1"/>
  <c r="H30" i="4"/>
  <c r="I30" i="4" s="1"/>
  <c r="J36" i="2"/>
  <c r="I36" i="2" s="1"/>
  <c r="H27" i="4"/>
  <c r="I27" i="4" s="1"/>
  <c r="J48" i="2"/>
  <c r="I48" i="2" s="1"/>
  <c r="H39" i="4"/>
  <c r="I39" i="4" s="1"/>
  <c r="H21" i="4"/>
  <c r="I21" i="4" s="1"/>
  <c r="J30" i="2"/>
  <c r="I30" i="2" s="1"/>
  <c r="M30" i="2"/>
  <c r="M39" i="2"/>
  <c r="M37" i="2"/>
  <c r="M17" i="2"/>
  <c r="M55" i="2"/>
  <c r="H25" i="4"/>
  <c r="I25" i="4" s="1"/>
  <c r="J34" i="2"/>
  <c r="I34" i="2" s="1"/>
  <c r="J41" i="2"/>
  <c r="I41" i="2" s="1"/>
  <c r="H32" i="4"/>
  <c r="I32" i="4" s="1"/>
  <c r="J24" i="2"/>
  <c r="I24" i="2" s="1"/>
  <c r="H15" i="4"/>
  <c r="I15" i="4" s="1"/>
  <c r="J43" i="2"/>
  <c r="I43" i="2" s="1"/>
  <c r="H34" i="4"/>
  <c r="I34" i="4" s="1"/>
  <c r="H26" i="4"/>
  <c r="I26" i="4" s="1"/>
  <c r="J35" i="2"/>
  <c r="I35" i="2" s="1"/>
  <c r="J52" i="2"/>
  <c r="I52" i="2" s="1"/>
  <c r="H43" i="4"/>
  <c r="I43" i="4" s="1"/>
  <c r="M53" i="2"/>
  <c r="M34" i="2"/>
  <c r="M26" i="2"/>
  <c r="M51" i="2"/>
  <c r="J31" i="2"/>
  <c r="I31" i="2" s="1"/>
  <c r="H22" i="4"/>
  <c r="I22" i="4" s="1"/>
  <c r="J58" i="2"/>
  <c r="I58" i="2" s="1"/>
  <c r="H49" i="4"/>
  <c r="I49" i="4" s="1"/>
  <c r="H10" i="4"/>
  <c r="I10" i="4" s="1"/>
  <c r="J19" i="2"/>
  <c r="I19" i="2" s="1"/>
  <c r="H41" i="4"/>
  <c r="I41" i="4" s="1"/>
  <c r="J50" i="2"/>
  <c r="I50" i="2" s="1"/>
  <c r="H23" i="4"/>
  <c r="I23" i="4" s="1"/>
  <c r="J32" i="2"/>
  <c r="I32" i="2" s="1"/>
  <c r="J65" i="2"/>
  <c r="I65" i="2" s="1"/>
  <c r="H56" i="4"/>
  <c r="I56" i="4" s="1"/>
  <c r="H7" i="4"/>
  <c r="I7" i="4" s="1"/>
  <c r="J16" i="2"/>
  <c r="I16" i="2" s="1"/>
  <c r="H31" i="4"/>
  <c r="I31" i="4" s="1"/>
  <c r="J40" i="2"/>
  <c r="I40" i="2" s="1"/>
  <c r="J29" i="2"/>
  <c r="I29" i="2" s="1"/>
  <c r="H20" i="4"/>
  <c r="I20" i="4" s="1"/>
  <c r="H37" i="4"/>
  <c r="I37" i="4" s="1"/>
  <c r="J46" i="2"/>
  <c r="I46" i="2" s="1"/>
  <c r="J63" i="2"/>
  <c r="I63" i="2" s="1"/>
  <c r="H54" i="4"/>
  <c r="I54" i="4" s="1"/>
  <c r="J64" i="2"/>
  <c r="I64" i="2" s="1"/>
  <c r="H55" i="4"/>
  <c r="I55" i="4" s="1"/>
  <c r="H18" i="4"/>
  <c r="I18" i="4" s="1"/>
  <c r="J27" i="2"/>
  <c r="I27" i="2" s="1"/>
  <c r="M40" i="2"/>
  <c r="M63" i="2"/>
  <c r="M64" i="2"/>
  <c r="M33" i="2"/>
  <c r="M43" i="2"/>
  <c r="M49" i="2"/>
  <c r="J20" i="2"/>
  <c r="I20" i="2" s="1"/>
  <c r="H11" i="4"/>
  <c r="I11" i="4" s="1"/>
  <c r="J56" i="2"/>
  <c r="I56" i="2" s="1"/>
  <c r="H47" i="4"/>
  <c r="I47" i="4" s="1"/>
  <c r="J54" i="2"/>
  <c r="I54" i="2" s="1"/>
  <c r="H45" i="4"/>
  <c r="I45" i="4" s="1"/>
  <c r="V3" i="2"/>
  <c r="H52" i="4"/>
  <c r="I52" i="4" s="1"/>
  <c r="J61" i="2"/>
  <c r="I61" i="2" s="1"/>
  <c r="J38" i="2"/>
  <c r="I38" i="2" s="1"/>
  <c r="H29" i="4"/>
  <c r="I29" i="4" s="1"/>
  <c r="M46" i="2"/>
  <c r="M48" i="2"/>
  <c r="M58" i="2"/>
  <c r="M54" i="2"/>
  <c r="K66" i="2"/>
  <c r="J15" i="2"/>
  <c r="I15" i="2" s="1"/>
  <c r="H6" i="4"/>
  <c r="Q2" i="2" l="1"/>
  <c r="V1" i="2"/>
  <c r="Q5" i="2"/>
  <c r="Q1" i="2"/>
  <c r="Q4" i="2"/>
  <c r="Q3" i="2"/>
  <c r="D2" i="2"/>
  <c r="I66" i="2"/>
  <c r="I69" i="2" s="1"/>
  <c r="D3" i="2" l="1"/>
  <c r="I6" i="4" s="1"/>
  <c r="I57" i="4" s="1"/>
  <c r="I60" i="4" s="1"/>
  <c r="S7" i="2"/>
  <c r="W1" i="2" l="1"/>
  <c r="W3" i="2"/>
  <c r="W2" i="2"/>
  <c r="S8" i="2"/>
  <c r="R2" i="2"/>
  <c r="R6" i="2"/>
  <c r="R5" i="2"/>
  <c r="R3" i="2"/>
  <c r="R4" i="2"/>
  <c r="R1" i="2"/>
</calcChain>
</file>

<file path=xl/sharedStrings.xml><?xml version="1.0" encoding="utf-8"?>
<sst xmlns="http://schemas.openxmlformats.org/spreadsheetml/2006/main" count="614" uniqueCount="140">
  <si>
    <t>Ítem</t>
  </si>
  <si>
    <t>Código Catálogo</t>
  </si>
  <si>
    <t>Descripción</t>
  </si>
  <si>
    <t>Atributos</t>
  </si>
  <si>
    <t>Cantidad</t>
  </si>
  <si>
    <t>Monto</t>
  </si>
  <si>
    <t>Precio Unitario (IVA Incluido)</t>
  </si>
  <si>
    <t>Precio Total</t>
  </si>
  <si>
    <t>Caracteristicas</t>
  </si>
  <si>
    <t>unidad de medida: Metro lineal
presentación: EVENTO</t>
  </si>
  <si>
    <t xml:space="preserve">procedencia: Paraguay
nro_certificado_origen_nacional: </t>
  </si>
  <si>
    <t>80111613-9999</t>
  </si>
  <si>
    <t>unidad de medida: Metros cuadrados
presentación: EVENTO</t>
  </si>
  <si>
    <t xml:space="preserve">procedencia: Argentina
nro_certificado_origen_nacional: </t>
  </si>
  <si>
    <t>72102602-005</t>
  </si>
  <si>
    <t>unidad de medida: Unidad
presentación: EVENTO</t>
  </si>
  <si>
    <t xml:space="preserve">procedencia: Brasil
nro_certificado_origen_nacional: </t>
  </si>
  <si>
    <t>72131601-008</t>
  </si>
  <si>
    <t>72131601-012</t>
  </si>
  <si>
    <t>72101603-9999</t>
  </si>
  <si>
    <t>72101603-001</t>
  </si>
  <si>
    <t>Total por Grupo:</t>
  </si>
  <si>
    <t>Total General Calculado:</t>
  </si>
  <si>
    <t>Firma</t>
  </si>
  <si>
    <t>Nombre:</t>
  </si>
  <si>
    <t>En calidad de:</t>
  </si>
  <si>
    <t>Referencial</t>
  </si>
  <si>
    <t>factor x ref</t>
  </si>
  <si>
    <t>Oferta</t>
  </si>
  <si>
    <t>factor x cos</t>
  </si>
  <si>
    <t>Meta de oferta</t>
  </si>
  <si>
    <t>Diferencia</t>
  </si>
  <si>
    <t>Se hace poco</t>
  </si>
  <si>
    <t>Se hace</t>
  </si>
  <si>
    <t>Se hace muchisimo</t>
  </si>
  <si>
    <t>% del referencial</t>
  </si>
  <si>
    <t>% DEL COSTO</t>
  </si>
  <si>
    <t>COSTO UNITARIO</t>
  </si>
  <si>
    <t>[indicar el nombre completo de la persona que firma el Formulario de la Oferta]</t>
  </si>
  <si>
    <t>[indicar la calidad jurídica de la persona que firma el Formulario de la Oferta]</t>
  </si>
  <si>
    <t>EMPRESA</t>
  </si>
  <si>
    <t>ID</t>
  </si>
  <si>
    <t>TIPO DE CONTRATO</t>
  </si>
  <si>
    <t>MONTO REFERENCIA</t>
  </si>
  <si>
    <t>MONTO OFERENTE</t>
  </si>
  <si>
    <t>% REFERENCIAL</t>
  </si>
  <si>
    <t>OBS</t>
  </si>
  <si>
    <t>HUGO NAVARRO</t>
  </si>
  <si>
    <t>CERRADO</t>
  </si>
  <si>
    <t>NO POSEE PARTICIPACIONES</t>
  </si>
  <si>
    <t>HUGO GIOVINE</t>
  </si>
  <si>
    <t>YUKON S.A</t>
  </si>
  <si>
    <t>MURA S.A</t>
  </si>
  <si>
    <t>-</t>
  </si>
  <si>
    <t>EL JAMSA DORADO S.A</t>
  </si>
  <si>
    <t>NO POSEE ADJUDICACIONES, SI PARTICIPACIONES</t>
  </si>
  <si>
    <t>D Y D ARQUITECTURA Y CONSTRUCCION SRL</t>
  </si>
  <si>
    <t>ABIERTO</t>
  </si>
  <si>
    <t>CORPORACION LEMURIA</t>
  </si>
  <si>
    <t>JL Y COMPAÑIA</t>
  </si>
  <si>
    <t>TES INGENIERIA</t>
  </si>
  <si>
    <t>ING. JULIO C. GOMEZ</t>
  </si>
  <si>
    <t>ENGINEERIN SAECA</t>
  </si>
  <si>
    <t>EJ INGENIERIA</t>
  </si>
  <si>
    <t>NELSON FEDERICO SEGOVIA AZUCAS (EN OBRAS)</t>
  </si>
  <si>
    <t>CARLOS ALBERTO PERALES ORTELLADO (COIN)</t>
  </si>
  <si>
    <t>NO POSEE ADJUDICACION, SI PARTICIPACION</t>
  </si>
  <si>
    <t>DIEGO SZKLARKIERVICZ KALLER</t>
  </si>
  <si>
    <t>NO ADJUDICADO</t>
  </si>
  <si>
    <t>Licitación: 468573 - MANTENIMIENTO DE DEPOSITOS DE CARGAS AREAS DEL AISP</t>
  </si>
  <si>
    <t>Grupo 1 - MANTENIMIENTO DE DEPOSITOS DE CARGAS AREAS DEL AISP               Contrato Abierto: No,     Abastecimiento Simultaneo: No</t>
  </si>
  <si>
    <t>72141510-001</t>
  </si>
  <si>
    <t>Demolicion de contrapiso y piso con aislacion existente. Incluye retiro de escombro</t>
  </si>
  <si>
    <t>72131601-004</t>
  </si>
  <si>
    <t xml:space="preserve">Provision de carpeta </t>
  </si>
  <si>
    <t>Mano de obra de carpeta</t>
  </si>
  <si>
    <t>Provision de membrana liquida y tela bidim para aislacion de losa</t>
  </si>
  <si>
    <t>Mano de obra de membrana liquida y tela bidim para aislacion de losa</t>
  </si>
  <si>
    <t>72103002-002</t>
  </si>
  <si>
    <t>Remocion de revoque en zonas deterioradas</t>
  </si>
  <si>
    <t>Provision de revoque interior con hidrofugo</t>
  </si>
  <si>
    <t>Mano de obra - Revoque con hidrófugo</t>
  </si>
  <si>
    <t>Provision de pintura latex para interior con enduido</t>
  </si>
  <si>
    <t>Mano de obra de pintura latex para interior con enduido</t>
  </si>
  <si>
    <t>Mantenimiento de canaleta embutida  bajada</t>
  </si>
  <si>
    <t>Remocion de canaleta embutida  bajada</t>
  </si>
  <si>
    <t>72101603-002</t>
  </si>
  <si>
    <t>Provision de Canaleta embutida  bajada</t>
  </si>
  <si>
    <t>Mano de obra - instalaci撑 de Canaleta embutida + bajada</t>
  </si>
  <si>
    <t>72102304-9995</t>
  </si>
  <si>
    <t>Mantenimiento de registro pluviales</t>
  </si>
  <si>
    <t>Remocion de revoque en zona de humedad</t>
  </si>
  <si>
    <t>Provision de pintura latex para exterior</t>
  </si>
  <si>
    <t>Mano de obra de  pintura latex para exterior</t>
  </si>
  <si>
    <t>Restauracion y pintura de porton corredizo existente</t>
  </si>
  <si>
    <t>72102201-003</t>
  </si>
  <si>
    <t>Bandeja de montaje de instalacion con tapa de 50 cm de ancho x 8 cm de alto. Incluye accesorios para montaje e instalacion.</t>
  </si>
  <si>
    <t xml:space="preserve">Bandeja de 5 cm de ancho con accesorios de montaje e instalacion </t>
  </si>
  <si>
    <t>Conductor nyy 4x2 mm2</t>
  </si>
  <si>
    <t>Llave externa de un punto</t>
  </si>
  <si>
    <t>Toma tipo nema - toma schuko</t>
  </si>
  <si>
    <t>Mano de obra para instalacion para puntos y tomas</t>
  </si>
  <si>
    <t>72131601-001</t>
  </si>
  <si>
    <t>Adecuacion de cañerias y cables de instalacion electrica existente</t>
  </si>
  <si>
    <t>Provisi撑 y colocaci撑 de Tablero seccionel plastico</t>
  </si>
  <si>
    <t>Proveer e instalar disyuntor
Termomatnético tripolar de 80A hasta
100A (llave dentro deltablero)</t>
  </si>
  <si>
    <t>30103606-004</t>
  </si>
  <si>
    <t xml:space="preserve">Provisi撑 de Mamparas de  tabique tipo eucatex blanco mas vidrio 50%. </t>
  </si>
  <si>
    <t xml:space="preserve">Mano de Obra - Instalacion de mamparas de tabique tipo eucatex blanco mas vidrio 50%. </t>
  </si>
  <si>
    <t>Demalicion sin recuperacion de mamposteria</t>
  </si>
  <si>
    <t>72131601-999</t>
  </si>
  <si>
    <t>Dintel sobre abertura</t>
  </si>
  <si>
    <t>Mano de obra de Dintel sobre abertura</t>
  </si>
  <si>
    <t>72102602-008</t>
  </si>
  <si>
    <t>Provisi撑 Marco de Madera para puerta tipo placa de 0.80x2.10 m, incluye accesorios</t>
  </si>
  <si>
    <t>Instalacion de Marco de Madera para puerta tipo placa de 0.80x2.10 m, incluye accesorios</t>
  </si>
  <si>
    <t>Provisi撑 Puerta de Madera tipo placa de 0.80x2.10 m, incluye accesorios</t>
  </si>
  <si>
    <t>Instalacion de Puerta de Madera tipo placa de 0.80x2.10 m, incluye accesorios</t>
  </si>
  <si>
    <t>Provision de pintura para aberturas</t>
  </si>
  <si>
    <t>Mano de obra de pintura para aberturas</t>
  </si>
  <si>
    <t>Provision de Ventana de Blindex  1 x  1 con sus accesorios</t>
  </si>
  <si>
    <t>72101601-002</t>
  </si>
  <si>
    <t>Provision de materiales para cielorraso tecnico desmontable en placas de yeso de 60x60 con estructura de aluminio</t>
  </si>
  <si>
    <t>Mano de obra de instalacion de cielorraso tecnico desmontable en placas de yeso de 60x60 con estructura de aluminio</t>
  </si>
  <si>
    <t>Llave de un punto</t>
  </si>
  <si>
    <t>Provision de panel de adosar de 40w - 60x60 cm , luz blanca.</t>
  </si>
  <si>
    <t>Mano de obra de instalacion de panel de adosar de 40w - 60x60 cm , luz blanca.</t>
  </si>
  <si>
    <t>REFERENCIAL unit</t>
  </si>
  <si>
    <t>MONTO TOTAL REFERENCIAL</t>
  </si>
  <si>
    <t>procedencia: Paraguay
nro_certificado_origen_nacional: 202459</t>
  </si>
  <si>
    <t>Lorena Estefania Silva Ruiz</t>
  </si>
  <si>
    <t>Representante legal de la firma IBL Ingenieria S.R.L.</t>
  </si>
  <si>
    <t>procedencia: Paraguay
nro_certificado_origen_nacional: 202460</t>
  </si>
  <si>
    <t>procedencia: Paraguay
nro_certificado_origen_nacional: 202461</t>
  </si>
  <si>
    <t>procedencia: Paraguay
nro_certificado_origen_nacional: 202462</t>
  </si>
  <si>
    <t xml:space="preserve">procedencia: Uruguay
nro_certificado_origen_nacional: </t>
  </si>
  <si>
    <t xml:space="preserve">marca: Eucatex
fabricante: Eucatex S.A. Indústria e Comércio
procedencia: Brasil
nro_certificado_origen_nacional: </t>
  </si>
  <si>
    <t>marca: 
fabricante: 
procedencia: Paraguay
nro_certificado_origen_nacional: 202459</t>
  </si>
  <si>
    <t xml:space="preserve">procedencia: China 
nro_certificado_origen_nacional: </t>
  </si>
  <si>
    <t>procedencia: Paraguay
nro_certificado_origen_nacional: 202463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</si>
</sst>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₲&quot;\ * #,##0_ ;_ &quot;₲&quot;\ * \-#,##0_ ;_ &quot;₲&quot;\ * &quot;-&quot;_ ;_ @_ "/>
    <numFmt numFmtId="41" formatCode="_ * #,##0_ ;_ * \-#,##0_ ;_ * &quot;-&quot;_ ;_ @_ "/>
    <numFmt numFmtId="164" formatCode="_ * #,##0.00_ ;_ * \-#,##0.00_ ;_ * &quot;-&quot;_ ;_ @_ "/>
    <numFmt numFmtId="166" formatCode="#,##0[$Gs.]"/>
  </numFmts>
  <fonts count="19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4"/>
      <color theme="0"/>
      <name val="Calibri"/>
    </font>
    <font>
      <b/>
      <sz val="14"/>
      <color rgb="FFFFFFFF"/>
      <name val="Calibri"/>
    </font>
    <font>
      <sz val="16"/>
      <color rgb="FF000000"/>
      <name val="Calibri"/>
    </font>
    <font>
      <sz val="11"/>
      <color theme="1"/>
      <name val="Calibri"/>
    </font>
    <font>
      <sz val="13"/>
      <color rgb="FF000000"/>
      <name val="Calibri"/>
    </font>
    <font>
      <b/>
      <sz val="11"/>
      <color rgb="FF000000"/>
      <name val="Calibri"/>
    </font>
    <font>
      <b/>
      <sz val="12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2532"/>
      <name val="&quot;Helvetica Neue&quot;"/>
    </font>
    <font>
      <sz val="11"/>
      <color rgb="FF000000"/>
      <name val="Helvetica Neue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  <fill>
      <patternFill patternType="solid">
        <fgColor rgb="FFF5F5F5"/>
        <bgColor rgb="FFF5F5F5"/>
      </patternFill>
    </fill>
    <fill>
      <patternFill patternType="solid">
        <fgColor rgb="FFFFC000"/>
        <bgColor rgb="FFFFC000"/>
      </patternFill>
    </fill>
    <fill>
      <patternFill patternType="solid">
        <fgColor rgb="FFB6DDE8"/>
        <bgColor rgb="FFB6DDE8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6E9ED"/>
        <bgColor rgb="FFE6E9ED"/>
      </patternFill>
    </fill>
    <fill>
      <patternFill patternType="solid">
        <fgColor rgb="FFE5E5E5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14" fillId="0" borderId="0" applyFont="0" applyFill="0" applyBorder="0" applyAlignment="0" applyProtection="0"/>
    <xf numFmtId="0" fontId="2" fillId="0" borderId="5"/>
    <xf numFmtId="41" fontId="14" fillId="0" borderId="0" applyFont="0" applyFill="0" applyBorder="0" applyAlignment="0" applyProtection="0"/>
  </cellStyleXfs>
  <cellXfs count="115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1" fontId="2" fillId="0" borderId="0" xfId="0" applyNumberFormat="1" applyFont="1" applyAlignment="1">
      <alignment horizontal="left" vertical="center" wrapText="1"/>
    </xf>
    <xf numFmtId="41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41" fontId="2" fillId="5" borderId="7" xfId="0" applyNumberFormat="1" applyFont="1" applyFill="1" applyBorder="1" applyAlignment="1">
      <alignment horizontal="center" vertical="center"/>
    </xf>
    <xf numFmtId="41" fontId="2" fillId="5" borderId="4" xfId="0" applyNumberFormat="1" applyFont="1" applyFill="1" applyBorder="1" applyAlignment="1">
      <alignment horizontal="center" vertical="center"/>
    </xf>
    <xf numFmtId="10" fontId="2" fillId="5" borderId="4" xfId="0" applyNumberFormat="1" applyFont="1" applyFill="1" applyBorder="1" applyAlignment="1">
      <alignment horizontal="center" vertical="center"/>
    </xf>
    <xf numFmtId="41" fontId="2" fillId="5" borderId="8" xfId="0" applyNumberFormat="1" applyFont="1" applyFill="1" applyBorder="1" applyAlignment="1">
      <alignment horizontal="center" vertical="center"/>
    </xf>
    <xf numFmtId="4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41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/>
    </xf>
    <xf numFmtId="0" fontId="3" fillId="6" borderId="4" xfId="0" applyFont="1" applyFill="1" applyBorder="1" applyAlignment="1">
      <alignment vertical="center" wrapText="1"/>
    </xf>
    <xf numFmtId="41" fontId="3" fillId="6" borderId="4" xfId="0" applyNumberFormat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164" fontId="3" fillId="6" borderId="4" xfId="0" applyNumberFormat="1" applyFont="1" applyFill="1" applyBorder="1" applyAlignment="1">
      <alignment vertical="center" wrapText="1"/>
    </xf>
    <xf numFmtId="164" fontId="4" fillId="6" borderId="4" xfId="0" applyNumberFormat="1" applyFont="1" applyFill="1" applyBorder="1" applyAlignment="1">
      <alignment vertical="center" wrapText="1"/>
    </xf>
    <xf numFmtId="164" fontId="3" fillId="6" borderId="1" xfId="0" applyNumberFormat="1" applyFont="1" applyFill="1" applyBorder="1" applyAlignment="1">
      <alignment vertical="center" wrapText="1"/>
    </xf>
    <xf numFmtId="0" fontId="6" fillId="0" borderId="2" xfId="0" applyFont="1" applyBorder="1"/>
    <xf numFmtId="0" fontId="6" fillId="0" borderId="3" xfId="0" applyFont="1" applyBorder="1"/>
    <xf numFmtId="0" fontId="2" fillId="0" borderId="0" xfId="0" applyFont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4" fontId="5" fillId="2" borderId="5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9" fontId="2" fillId="0" borderId="0" xfId="0" applyNumberFormat="1" applyFont="1"/>
    <xf numFmtId="166" fontId="2" fillId="0" borderId="0" xfId="0" applyNumberFormat="1" applyFont="1" applyAlignment="1">
      <alignment horizontal="right"/>
    </xf>
    <xf numFmtId="10" fontId="10" fillId="0" borderId="0" xfId="0" applyNumberFormat="1" applyFont="1"/>
    <xf numFmtId="0" fontId="0" fillId="0" borderId="0" xfId="0" applyFont="1" applyAlignment="1">
      <alignment wrapText="1"/>
    </xf>
    <xf numFmtId="0" fontId="8" fillId="9" borderId="9" xfId="0" applyFont="1" applyFill="1" applyBorder="1" applyAlignment="1">
      <alignment wrapText="1"/>
    </xf>
    <xf numFmtId="0" fontId="11" fillId="9" borderId="9" xfId="0" applyFont="1" applyFill="1" applyBorder="1" applyAlignment="1"/>
    <xf numFmtId="0" fontId="8" fillId="0" borderId="9" xfId="0" applyFont="1" applyBorder="1" applyAlignment="1">
      <alignment wrapText="1"/>
    </xf>
    <xf numFmtId="0" fontId="12" fillId="10" borderId="9" xfId="0" applyFont="1" applyFill="1" applyBorder="1" applyAlignment="1">
      <alignment horizontal="left"/>
    </xf>
    <xf numFmtId="0" fontId="2" fillId="0" borderId="9" xfId="0" applyFont="1" applyBorder="1" applyAlignment="1">
      <alignment wrapText="1"/>
    </xf>
    <xf numFmtId="9" fontId="2" fillId="0" borderId="9" xfId="0" applyNumberFormat="1" applyFont="1" applyBorder="1" applyAlignment="1">
      <alignment wrapText="1"/>
    </xf>
    <xf numFmtId="0" fontId="10" fillId="0" borderId="9" xfId="0" applyFont="1" applyBorder="1"/>
    <xf numFmtId="0" fontId="10" fillId="0" borderId="9" xfId="0" applyFont="1" applyBorder="1" applyAlignment="1"/>
    <xf numFmtId="0" fontId="13" fillId="10" borderId="9" xfId="0" applyFont="1" applyFill="1" applyBorder="1" applyAlignment="1">
      <alignment horizontal="left" wrapText="1"/>
    </xf>
    <xf numFmtId="42" fontId="0" fillId="0" borderId="0" xfId="1" applyFont="1" applyAlignment="1"/>
    <xf numFmtId="42" fontId="10" fillId="0" borderId="0" xfId="1" applyFont="1"/>
    <xf numFmtId="42" fontId="8" fillId="9" borderId="9" xfId="1" applyFont="1" applyFill="1" applyBorder="1" applyAlignment="1">
      <alignment wrapText="1"/>
    </xf>
    <xf numFmtId="42" fontId="2" fillId="0" borderId="9" xfId="1" applyFont="1" applyBorder="1" applyAlignment="1"/>
    <xf numFmtId="42" fontId="2" fillId="0" borderId="9" xfId="1" applyFont="1" applyBorder="1" applyAlignment="1">
      <alignment wrapText="1"/>
    </xf>
    <xf numFmtId="42" fontId="2" fillId="0" borderId="9" xfId="1" applyFont="1" applyBorder="1" applyAlignment="1">
      <alignment horizontal="right"/>
    </xf>
    <xf numFmtId="42" fontId="10" fillId="0" borderId="9" xfId="1" applyFont="1" applyBorder="1" applyAlignment="1"/>
    <xf numFmtId="0" fontId="16" fillId="0" borderId="9" xfId="0" applyFont="1" applyBorder="1" applyAlignment="1">
      <alignment wrapText="1"/>
    </xf>
    <xf numFmtId="0" fontId="1" fillId="0" borderId="9" xfId="0" applyFont="1" applyBorder="1" applyAlignment="1"/>
    <xf numFmtId="0" fontId="1" fillId="0" borderId="9" xfId="0" applyFont="1" applyBorder="1"/>
    <xf numFmtId="0" fontId="17" fillId="0" borderId="9" xfId="0" applyFont="1" applyBorder="1" applyAlignment="1">
      <alignment wrapText="1"/>
    </xf>
    <xf numFmtId="42" fontId="16" fillId="0" borderId="9" xfId="1" applyFont="1" applyBorder="1" applyAlignment="1">
      <alignment wrapText="1"/>
    </xf>
    <xf numFmtId="0" fontId="15" fillId="0" borderId="9" xfId="0" applyFont="1" applyBorder="1" applyAlignment="1"/>
    <xf numFmtId="0" fontId="16" fillId="0" borderId="0" xfId="0" applyFont="1" applyBorder="1" applyAlignment="1">
      <alignment wrapText="1"/>
    </xf>
    <xf numFmtId="0" fontId="5" fillId="11" borderId="0" xfId="0" applyFont="1" applyFill="1" applyAlignment="1"/>
    <xf numFmtId="0" fontId="0" fillId="0" borderId="0" xfId="0"/>
    <xf numFmtId="0" fontId="2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41" fontId="2" fillId="0" borderId="9" xfId="0" applyNumberFormat="1" applyFont="1" applyBorder="1" applyAlignment="1">
      <alignment horizontal="center" vertical="center" wrapText="1"/>
    </xf>
    <xf numFmtId="0" fontId="8" fillId="12" borderId="9" xfId="0" applyFont="1" applyFill="1" applyBorder="1" applyAlignment="1">
      <alignment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4" fontId="0" fillId="0" borderId="9" xfId="0" applyNumberFormat="1" applyBorder="1" applyAlignment="1">
      <alignment vertical="center" wrapText="1"/>
    </xf>
    <xf numFmtId="4" fontId="2" fillId="0" borderId="9" xfId="0" applyNumberFormat="1" applyFont="1" applyBorder="1" applyAlignment="1">
      <alignment horizontal="center" vertical="center" wrapText="1"/>
    </xf>
    <xf numFmtId="9" fontId="2" fillId="0" borderId="9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/>
    </xf>
    <xf numFmtId="0" fontId="8" fillId="12" borderId="10" xfId="0" applyFont="1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41" fontId="2" fillId="4" borderId="5" xfId="3" applyFont="1" applyFill="1" applyBorder="1" applyAlignment="1">
      <alignment horizontal="center" vertical="center"/>
    </xf>
    <xf numFmtId="41" fontId="2" fillId="4" borderId="5" xfId="3" applyFont="1" applyFill="1" applyBorder="1" applyAlignment="1">
      <alignment horizontal="center" vertical="center" wrapText="1"/>
    </xf>
    <xf numFmtId="41" fontId="2" fillId="5" borderId="4" xfId="3" applyFont="1" applyFill="1" applyBorder="1" applyAlignment="1">
      <alignment horizontal="center" vertical="center"/>
    </xf>
    <xf numFmtId="41" fontId="2" fillId="0" borderId="4" xfId="3" applyFont="1" applyBorder="1" applyAlignment="1">
      <alignment horizontal="center" vertical="center"/>
    </xf>
    <xf numFmtId="41" fontId="2" fillId="0" borderId="0" xfId="3" applyFont="1" applyAlignment="1">
      <alignment horizontal="center" vertical="center" wrapText="1"/>
    </xf>
    <xf numFmtId="41" fontId="2" fillId="0" borderId="0" xfId="3" applyFont="1" applyAlignment="1">
      <alignment horizontal="center" vertical="center"/>
    </xf>
    <xf numFmtId="41" fontId="0" fillId="0" borderId="0" xfId="3" applyFont="1" applyAlignment="1"/>
    <xf numFmtId="41" fontId="2" fillId="4" borderId="9" xfId="3" applyFont="1" applyFill="1" applyBorder="1" applyAlignment="1">
      <alignment horizontal="center" vertical="center" wrapText="1"/>
    </xf>
    <xf numFmtId="41" fontId="2" fillId="0" borderId="9" xfId="3" applyFont="1" applyBorder="1" applyAlignment="1">
      <alignment horizontal="center" vertical="center" wrapText="1"/>
    </xf>
    <xf numFmtId="41" fontId="9" fillId="4" borderId="9" xfId="3" applyFont="1" applyFill="1" applyBorder="1" applyAlignment="1">
      <alignment horizontal="center" vertical="center" wrapText="1"/>
    </xf>
    <xf numFmtId="41" fontId="9" fillId="5" borderId="9" xfId="3" applyFont="1" applyFill="1" applyBorder="1" applyAlignment="1">
      <alignment horizontal="center" vertical="center" wrapText="1"/>
    </xf>
    <xf numFmtId="41" fontId="9" fillId="7" borderId="9" xfId="3" applyFont="1" applyFill="1" applyBorder="1" applyAlignment="1">
      <alignment horizontal="center" vertical="center" wrapText="1"/>
    </xf>
    <xf numFmtId="41" fontId="2" fillId="13" borderId="9" xfId="3" applyFont="1" applyFill="1" applyBorder="1" applyAlignment="1">
      <alignment horizontal="center" vertical="center" wrapText="1"/>
    </xf>
    <xf numFmtId="41" fontId="2" fillId="4" borderId="9" xfId="3" applyFont="1" applyFill="1" applyBorder="1" applyAlignment="1">
      <alignment vertical="center" wrapText="1"/>
    </xf>
    <xf numFmtId="41" fontId="2" fillId="5" borderId="9" xfId="3" applyFont="1" applyFill="1" applyBorder="1" applyAlignment="1">
      <alignment vertical="center" wrapText="1"/>
    </xf>
    <xf numFmtId="41" fontId="6" fillId="8" borderId="9" xfId="3" applyFont="1" applyFill="1" applyBorder="1" applyAlignment="1">
      <alignment horizontal="center" vertical="center" wrapText="1"/>
    </xf>
    <xf numFmtId="0" fontId="2" fillId="0" borderId="5" xfId="2" applyAlignment="1">
      <alignment vertical="center"/>
    </xf>
    <xf numFmtId="0" fontId="2" fillId="0" borderId="5" xfId="2" applyAlignment="1">
      <alignment vertical="center" wrapText="1"/>
    </xf>
    <xf numFmtId="0" fontId="5" fillId="11" borderId="5" xfId="2" applyFont="1" applyFill="1" applyAlignment="1">
      <alignment vertical="center"/>
    </xf>
    <xf numFmtId="4" fontId="5" fillId="11" borderId="5" xfId="2" applyNumberFormat="1" applyFont="1" applyFill="1" applyAlignment="1">
      <alignment vertical="center"/>
    </xf>
    <xf numFmtId="41" fontId="2" fillId="0" borderId="7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164" fontId="2" fillId="5" borderId="8" xfId="3" applyNumberFormat="1" applyFont="1" applyFill="1" applyBorder="1" applyAlignment="1">
      <alignment horizontal="center" vertical="center"/>
    </xf>
    <xf numFmtId="164" fontId="2" fillId="0" borderId="4" xfId="3" applyNumberFormat="1" applyFont="1" applyBorder="1" applyAlignment="1">
      <alignment horizontal="center" vertical="center"/>
    </xf>
    <xf numFmtId="164" fontId="2" fillId="5" borderId="4" xfId="3" applyNumberFormat="1" applyFont="1" applyFill="1" applyBorder="1" applyAlignment="1">
      <alignment horizontal="center" vertical="center"/>
    </xf>
    <xf numFmtId="12" fontId="6" fillId="8" borderId="9" xfId="3" applyNumberFormat="1" applyFont="1" applyFill="1" applyBorder="1" applyAlignment="1">
      <alignment horizontal="center" vertical="center" wrapText="1"/>
    </xf>
    <xf numFmtId="0" fontId="7" fillId="0" borderId="9" xfId="2" applyFont="1" applyBorder="1" applyAlignment="1">
      <alignment vertical="center"/>
    </xf>
    <xf numFmtId="0" fontId="8" fillId="12" borderId="9" xfId="2" applyFont="1" applyFill="1" applyBorder="1" applyAlignment="1">
      <alignment vertical="center"/>
    </xf>
    <xf numFmtId="0" fontId="2" fillId="0" borderId="9" xfId="2" applyBorder="1" applyAlignment="1">
      <alignment horizontal="center" vertical="center"/>
    </xf>
    <xf numFmtId="0" fontId="2" fillId="0" borderId="9" xfId="2" applyBorder="1" applyAlignment="1">
      <alignment vertical="center"/>
    </xf>
    <xf numFmtId="0" fontId="2" fillId="0" borderId="9" xfId="2" applyBorder="1" applyAlignment="1">
      <alignment vertical="center" wrapText="1"/>
    </xf>
    <xf numFmtId="4" fontId="2" fillId="0" borderId="9" xfId="2" applyNumberFormat="1" applyBorder="1" applyAlignment="1">
      <alignment vertical="center"/>
    </xf>
    <xf numFmtId="0" fontId="5" fillId="11" borderId="9" xfId="2" applyFont="1" applyFill="1" applyBorder="1" applyAlignment="1">
      <alignment horizontal="center" vertical="center"/>
    </xf>
    <xf numFmtId="0" fontId="18" fillId="0" borderId="5" xfId="2" applyFont="1" applyAlignment="1">
      <alignment vertical="center"/>
    </xf>
    <xf numFmtId="0" fontId="18" fillId="0" borderId="6" xfId="2" applyFont="1" applyBorder="1" applyAlignment="1">
      <alignment vertical="center"/>
    </xf>
    <xf numFmtId="0" fontId="16" fillId="0" borderId="9" xfId="2" applyFont="1" applyBorder="1" applyAlignment="1">
      <alignment vertical="center" wrapText="1"/>
    </xf>
    <xf numFmtId="0" fontId="8" fillId="12" borderId="9" xfId="2" applyFont="1" applyFill="1" applyBorder="1" applyAlignment="1">
      <alignment vertical="center" wrapText="1"/>
    </xf>
    <xf numFmtId="0" fontId="18" fillId="0" borderId="6" xfId="2" applyFont="1" applyBorder="1" applyAlignment="1">
      <alignment vertical="center" wrapText="1"/>
    </xf>
    <xf numFmtId="0" fontId="18" fillId="0" borderId="5" xfId="2" applyFont="1" applyAlignment="1">
      <alignment vertical="center" wrapText="1"/>
    </xf>
  </cellXfs>
  <cellStyles count="4">
    <cellStyle name="Millares [0]" xfId="3" builtinId="6"/>
    <cellStyle name="Moneda [0]" xfId="1" builtinId="7"/>
    <cellStyle name="Normal" xfId="0" builtinId="0"/>
    <cellStyle name="Normal 2" xfId="2" xr:uid="{86C3EC55-A7AD-48D3-8564-54C97008BF35}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3CF4-002B-435F-8C98-EB879BA4FD4B}">
  <dimension ref="B2:J66"/>
  <sheetViews>
    <sheetView showGridLines="0" tabSelected="1" topLeftCell="A52" zoomScale="85" zoomScaleNormal="85" workbookViewId="0">
      <selection activeCell="D55" sqref="D55"/>
    </sheetView>
  </sheetViews>
  <sheetFormatPr baseColWidth="10" defaultColWidth="17.140625" defaultRowHeight="15"/>
  <cols>
    <col min="1" max="1" width="17.140625" style="92"/>
    <col min="2" max="2" width="11.42578125" style="92" customWidth="1"/>
    <col min="3" max="3" width="17.140625" style="92"/>
    <col min="4" max="4" width="48.5703125" style="93" customWidth="1"/>
    <col min="5" max="5" width="17.140625" style="92" customWidth="1"/>
    <col min="6" max="6" width="10.28515625" style="92" customWidth="1"/>
    <col min="7" max="7" width="12.140625" style="92" customWidth="1"/>
    <col min="8" max="8" width="12" style="92" customWidth="1"/>
    <col min="9" max="9" width="20.85546875" style="92" customWidth="1"/>
    <col min="10" max="16384" width="17.140625" style="92"/>
  </cols>
  <sheetData>
    <row r="2" spans="2:10" ht="21">
      <c r="B2" s="108" t="s">
        <v>69</v>
      </c>
      <c r="C2" s="108"/>
      <c r="D2" s="108"/>
      <c r="E2" s="108"/>
      <c r="F2" s="108"/>
      <c r="G2" s="108"/>
      <c r="H2" s="108"/>
      <c r="I2" s="108"/>
      <c r="J2" s="108"/>
    </row>
    <row r="4" spans="2:10" ht="32.25" customHeight="1">
      <c r="B4" s="102" t="s">
        <v>70</v>
      </c>
      <c r="C4" s="102"/>
      <c r="D4" s="102"/>
      <c r="E4" s="102"/>
      <c r="F4" s="102"/>
      <c r="G4" s="102"/>
      <c r="H4" s="102"/>
      <c r="I4" s="102"/>
      <c r="J4" s="102"/>
    </row>
    <row r="5" spans="2:10">
      <c r="B5" s="103" t="s">
        <v>0</v>
      </c>
      <c r="C5" s="103" t="s">
        <v>1</v>
      </c>
      <c r="D5" s="112" t="s">
        <v>2</v>
      </c>
      <c r="E5" s="103" t="s">
        <v>3</v>
      </c>
      <c r="F5" s="103" t="s">
        <v>4</v>
      </c>
      <c r="G5" s="103" t="s">
        <v>5</v>
      </c>
      <c r="H5" s="103" t="s">
        <v>6</v>
      </c>
      <c r="I5" s="103" t="s">
        <v>7</v>
      </c>
      <c r="J5" s="103" t="s">
        <v>8</v>
      </c>
    </row>
    <row r="6" spans="2:10" ht="75">
      <c r="B6" s="104">
        <v>1</v>
      </c>
      <c r="C6" s="105" t="s">
        <v>71</v>
      </c>
      <c r="D6" s="106" t="s">
        <v>72</v>
      </c>
      <c r="E6" s="106" t="s">
        <v>12</v>
      </c>
      <c r="F6" s="107">
        <v>900</v>
      </c>
      <c r="G6" s="104" t="s">
        <v>53</v>
      </c>
      <c r="H6" s="107">
        <f>+VLOOKUP(B6,COSTEO!B:K,10,0)</f>
        <v>29000</v>
      </c>
      <c r="I6" s="107">
        <f>H6*900</f>
        <v>26100000</v>
      </c>
      <c r="J6" s="106" t="s">
        <v>129</v>
      </c>
    </row>
    <row r="7" spans="2:10" ht="75">
      <c r="B7" s="104">
        <v>2</v>
      </c>
      <c r="C7" s="105" t="s">
        <v>73</v>
      </c>
      <c r="D7" s="106" t="s">
        <v>74</v>
      </c>
      <c r="E7" s="106" t="s">
        <v>12</v>
      </c>
      <c r="F7" s="107">
        <v>900</v>
      </c>
      <c r="G7" s="104" t="s">
        <v>53</v>
      </c>
      <c r="H7" s="107">
        <f>+VLOOKUP(B7,COSTEO!B:K,10,0)</f>
        <v>11800</v>
      </c>
      <c r="I7" s="107">
        <f>H7*900</f>
        <v>10620000</v>
      </c>
      <c r="J7" s="111" t="s">
        <v>10</v>
      </c>
    </row>
    <row r="8" spans="2:10" ht="75">
      <c r="B8" s="104">
        <v>3</v>
      </c>
      <c r="C8" s="105" t="s">
        <v>11</v>
      </c>
      <c r="D8" s="106" t="s">
        <v>75</v>
      </c>
      <c r="E8" s="106" t="s">
        <v>12</v>
      </c>
      <c r="F8" s="107">
        <v>900</v>
      </c>
      <c r="G8" s="104" t="s">
        <v>53</v>
      </c>
      <c r="H8" s="107">
        <f>+VLOOKUP(B8,COSTEO!B:K,10,0)</f>
        <v>25500</v>
      </c>
      <c r="I8" s="107">
        <f>H8*900</f>
        <v>22950000</v>
      </c>
      <c r="J8" s="106" t="s">
        <v>129</v>
      </c>
    </row>
    <row r="9" spans="2:10" ht="75">
      <c r="B9" s="104">
        <v>4</v>
      </c>
      <c r="C9" s="105" t="s">
        <v>18</v>
      </c>
      <c r="D9" s="106" t="s">
        <v>76</v>
      </c>
      <c r="E9" s="106" t="s">
        <v>12</v>
      </c>
      <c r="F9" s="107">
        <v>900</v>
      </c>
      <c r="G9" s="104" t="s">
        <v>53</v>
      </c>
      <c r="H9" s="107">
        <f>+VLOOKUP(B9,COSTEO!B:K,10,0)</f>
        <v>70600</v>
      </c>
      <c r="I9" s="107">
        <f>H9*900</f>
        <v>63540000</v>
      </c>
      <c r="J9" s="111" t="s">
        <v>13</v>
      </c>
    </row>
    <row r="10" spans="2:10" ht="75">
      <c r="B10" s="104">
        <v>5</v>
      </c>
      <c r="C10" s="105" t="s">
        <v>11</v>
      </c>
      <c r="D10" s="106" t="s">
        <v>77</v>
      </c>
      <c r="E10" s="106" t="s">
        <v>12</v>
      </c>
      <c r="F10" s="107">
        <v>900</v>
      </c>
      <c r="G10" s="104" t="s">
        <v>53</v>
      </c>
      <c r="H10" s="107">
        <f>+VLOOKUP(B10,COSTEO!B:K,10,0)</f>
        <v>21300</v>
      </c>
      <c r="I10" s="107">
        <f>H10*900</f>
        <v>19170000</v>
      </c>
      <c r="J10" s="106" t="s">
        <v>129</v>
      </c>
    </row>
    <row r="11" spans="2:10" ht="75">
      <c r="B11" s="104">
        <v>6</v>
      </c>
      <c r="C11" s="105" t="s">
        <v>78</v>
      </c>
      <c r="D11" s="106" t="s">
        <v>79</v>
      </c>
      <c r="E11" s="106" t="s">
        <v>12</v>
      </c>
      <c r="F11" s="107">
        <v>300</v>
      </c>
      <c r="G11" s="104" t="s">
        <v>53</v>
      </c>
      <c r="H11" s="107">
        <f>+VLOOKUP(B11,COSTEO!B:K,10,0)</f>
        <v>10600</v>
      </c>
      <c r="I11" s="107">
        <f>H11*300</f>
        <v>3180000</v>
      </c>
      <c r="J11" s="106" t="s">
        <v>129</v>
      </c>
    </row>
    <row r="12" spans="2:10" ht="75">
      <c r="B12" s="104">
        <v>7</v>
      </c>
      <c r="C12" s="105" t="s">
        <v>17</v>
      </c>
      <c r="D12" s="106" t="s">
        <v>80</v>
      </c>
      <c r="E12" s="106" t="s">
        <v>12</v>
      </c>
      <c r="F12" s="107">
        <v>300</v>
      </c>
      <c r="G12" s="104" t="s">
        <v>53</v>
      </c>
      <c r="H12" s="107">
        <f>+VLOOKUP(B12,COSTEO!B:K,10,0)</f>
        <v>15900</v>
      </c>
      <c r="I12" s="107">
        <f>H12*300</f>
        <v>4770000</v>
      </c>
      <c r="J12" s="111" t="s">
        <v>10</v>
      </c>
    </row>
    <row r="13" spans="2:10" ht="75">
      <c r="B13" s="104">
        <v>8</v>
      </c>
      <c r="C13" s="105" t="s">
        <v>11</v>
      </c>
      <c r="D13" s="106" t="s">
        <v>81</v>
      </c>
      <c r="E13" s="106" t="s">
        <v>12</v>
      </c>
      <c r="F13" s="107">
        <v>300</v>
      </c>
      <c r="G13" s="104" t="s">
        <v>53</v>
      </c>
      <c r="H13" s="107">
        <f>+VLOOKUP(B13,COSTEO!B:K,10,0)</f>
        <v>28100</v>
      </c>
      <c r="I13" s="107">
        <f>H13*300</f>
        <v>8430000</v>
      </c>
      <c r="J13" s="106" t="s">
        <v>129</v>
      </c>
    </row>
    <row r="14" spans="2:10" ht="75">
      <c r="B14" s="104">
        <v>9</v>
      </c>
      <c r="C14" s="105" t="s">
        <v>18</v>
      </c>
      <c r="D14" s="106" t="s">
        <v>82</v>
      </c>
      <c r="E14" s="106" t="s">
        <v>12</v>
      </c>
      <c r="F14" s="107">
        <v>900</v>
      </c>
      <c r="G14" s="104" t="s">
        <v>53</v>
      </c>
      <c r="H14" s="107">
        <f>+VLOOKUP(B14,COSTEO!B:K,10,0)</f>
        <v>15300</v>
      </c>
      <c r="I14" s="107">
        <f>H14*900</f>
        <v>13770000</v>
      </c>
      <c r="J14" s="111" t="s">
        <v>16</v>
      </c>
    </row>
    <row r="15" spans="2:10" ht="75">
      <c r="B15" s="104">
        <v>10</v>
      </c>
      <c r="C15" s="105" t="s">
        <v>11</v>
      </c>
      <c r="D15" s="106" t="s">
        <v>83</v>
      </c>
      <c r="E15" s="106" t="s">
        <v>12</v>
      </c>
      <c r="F15" s="107">
        <v>900</v>
      </c>
      <c r="G15" s="104" t="s">
        <v>53</v>
      </c>
      <c r="H15" s="107">
        <f>+VLOOKUP(B15,COSTEO!B:K,10,0)</f>
        <v>24700</v>
      </c>
      <c r="I15" s="107">
        <f>H15*900</f>
        <v>22230000</v>
      </c>
      <c r="J15" s="111" t="s">
        <v>129</v>
      </c>
    </row>
    <row r="16" spans="2:10" ht="75">
      <c r="B16" s="104">
        <v>11</v>
      </c>
      <c r="C16" s="105" t="s">
        <v>20</v>
      </c>
      <c r="D16" s="106" t="s">
        <v>84</v>
      </c>
      <c r="E16" s="106" t="s">
        <v>9</v>
      </c>
      <c r="F16" s="107">
        <v>50</v>
      </c>
      <c r="G16" s="104" t="s">
        <v>53</v>
      </c>
      <c r="H16" s="107">
        <f>+VLOOKUP(B16,COSTEO!B:K,10,0)</f>
        <v>30000</v>
      </c>
      <c r="I16" s="107">
        <f>H16*50</f>
        <v>1500000</v>
      </c>
      <c r="J16" s="111" t="s">
        <v>129</v>
      </c>
    </row>
    <row r="17" spans="2:10" ht="75">
      <c r="B17" s="104">
        <v>12</v>
      </c>
      <c r="C17" s="105" t="s">
        <v>19</v>
      </c>
      <c r="D17" s="106" t="s">
        <v>85</v>
      </c>
      <c r="E17" s="106" t="s">
        <v>9</v>
      </c>
      <c r="F17" s="107">
        <v>535</v>
      </c>
      <c r="G17" s="104" t="s">
        <v>53</v>
      </c>
      <c r="H17" s="107">
        <f>+VLOOKUP(B17,COSTEO!B:K,10,0)</f>
        <v>30000</v>
      </c>
      <c r="I17" s="107">
        <f>H17*535</f>
        <v>16050000</v>
      </c>
      <c r="J17" s="111" t="s">
        <v>132</v>
      </c>
    </row>
    <row r="18" spans="2:10" ht="75">
      <c r="B18" s="104">
        <v>13</v>
      </c>
      <c r="C18" s="105" t="s">
        <v>86</v>
      </c>
      <c r="D18" s="106" t="s">
        <v>87</v>
      </c>
      <c r="E18" s="106" t="s">
        <v>9</v>
      </c>
      <c r="F18" s="107">
        <v>535</v>
      </c>
      <c r="G18" s="104" t="s">
        <v>53</v>
      </c>
      <c r="H18" s="107">
        <f>+VLOOKUP(B18,COSTEO!B:K,10,0)</f>
        <v>147200</v>
      </c>
      <c r="I18" s="107">
        <f>H18*535</f>
        <v>78752000</v>
      </c>
      <c r="J18" s="111" t="s">
        <v>10</v>
      </c>
    </row>
    <row r="19" spans="2:10" ht="75">
      <c r="B19" s="104">
        <v>14</v>
      </c>
      <c r="C19" s="105" t="s">
        <v>19</v>
      </c>
      <c r="D19" s="106" t="s">
        <v>88</v>
      </c>
      <c r="E19" s="106" t="s">
        <v>9</v>
      </c>
      <c r="F19" s="107">
        <v>535</v>
      </c>
      <c r="G19" s="104" t="s">
        <v>53</v>
      </c>
      <c r="H19" s="107">
        <f>+VLOOKUP(B19,COSTEO!B:K,10,0)</f>
        <v>75000</v>
      </c>
      <c r="I19" s="107">
        <f>H19*535</f>
        <v>40125000</v>
      </c>
      <c r="J19" s="106" t="s">
        <v>129</v>
      </c>
    </row>
    <row r="20" spans="2:10" ht="75">
      <c r="B20" s="104">
        <v>15</v>
      </c>
      <c r="C20" s="105" t="s">
        <v>89</v>
      </c>
      <c r="D20" s="106" t="s">
        <v>90</v>
      </c>
      <c r="E20" s="106" t="s">
        <v>9</v>
      </c>
      <c r="F20" s="107">
        <v>270</v>
      </c>
      <c r="G20" s="104" t="s">
        <v>53</v>
      </c>
      <c r="H20" s="107">
        <f>+VLOOKUP(B20,COSTEO!B:K,10,0)</f>
        <v>18000</v>
      </c>
      <c r="I20" s="107">
        <f>H20*270</f>
        <v>4860000</v>
      </c>
      <c r="J20" s="106" t="s">
        <v>132</v>
      </c>
    </row>
    <row r="21" spans="2:10" ht="75">
      <c r="B21" s="104">
        <v>16</v>
      </c>
      <c r="C21" s="105" t="s">
        <v>78</v>
      </c>
      <c r="D21" s="106" t="s">
        <v>91</v>
      </c>
      <c r="E21" s="106" t="s">
        <v>12</v>
      </c>
      <c r="F21" s="107">
        <v>300</v>
      </c>
      <c r="G21" s="104" t="s">
        <v>53</v>
      </c>
      <c r="H21" s="107">
        <f>+VLOOKUP(B21,COSTEO!B:K,10,0)</f>
        <v>10300</v>
      </c>
      <c r="I21" s="107">
        <f>H21*300</f>
        <v>3090000</v>
      </c>
      <c r="J21" s="106" t="s">
        <v>133</v>
      </c>
    </row>
    <row r="22" spans="2:10" ht="75">
      <c r="B22" s="104">
        <v>17</v>
      </c>
      <c r="C22" s="105" t="s">
        <v>17</v>
      </c>
      <c r="D22" s="106" t="s">
        <v>80</v>
      </c>
      <c r="E22" s="106" t="s">
        <v>12</v>
      </c>
      <c r="F22" s="107">
        <v>300</v>
      </c>
      <c r="G22" s="104" t="s">
        <v>53</v>
      </c>
      <c r="H22" s="107">
        <f>+VLOOKUP(B22,COSTEO!B:K,10,0)</f>
        <v>15900</v>
      </c>
      <c r="I22" s="107">
        <f>H22*300</f>
        <v>4770000</v>
      </c>
      <c r="J22" s="111" t="s">
        <v>10</v>
      </c>
    </row>
    <row r="23" spans="2:10" ht="75">
      <c r="B23" s="104">
        <v>18</v>
      </c>
      <c r="C23" s="105" t="s">
        <v>19</v>
      </c>
      <c r="D23" s="106" t="s">
        <v>81</v>
      </c>
      <c r="E23" s="106" t="s">
        <v>12</v>
      </c>
      <c r="F23" s="107">
        <v>300</v>
      </c>
      <c r="G23" s="104" t="s">
        <v>53</v>
      </c>
      <c r="H23" s="107">
        <f>+VLOOKUP(B23,COSTEO!B:K,10,0)</f>
        <v>28100</v>
      </c>
      <c r="I23" s="107">
        <f>H23*300</f>
        <v>8430000</v>
      </c>
      <c r="J23" s="106" t="s">
        <v>129</v>
      </c>
    </row>
    <row r="24" spans="2:10" ht="75">
      <c r="B24" s="104">
        <v>19</v>
      </c>
      <c r="C24" s="105" t="s">
        <v>18</v>
      </c>
      <c r="D24" s="106" t="s">
        <v>82</v>
      </c>
      <c r="E24" s="106" t="s">
        <v>12</v>
      </c>
      <c r="F24" s="107">
        <v>400</v>
      </c>
      <c r="G24" s="104" t="s">
        <v>53</v>
      </c>
      <c r="H24" s="107">
        <f>+VLOOKUP(B24,COSTEO!B:K,10,0)</f>
        <v>15300</v>
      </c>
      <c r="I24" s="107">
        <f>H24*400</f>
        <v>6120000</v>
      </c>
      <c r="J24" s="111" t="s">
        <v>16</v>
      </c>
    </row>
    <row r="25" spans="2:10" ht="75">
      <c r="B25" s="104">
        <v>20</v>
      </c>
      <c r="C25" s="105" t="s">
        <v>19</v>
      </c>
      <c r="D25" s="106" t="s">
        <v>83</v>
      </c>
      <c r="E25" s="106" t="s">
        <v>12</v>
      </c>
      <c r="F25" s="107">
        <v>400</v>
      </c>
      <c r="G25" s="104" t="s">
        <v>53</v>
      </c>
      <c r="H25" s="107">
        <f>+VLOOKUP(B25,COSTEO!B:K,10,0)</f>
        <v>20600</v>
      </c>
      <c r="I25" s="107">
        <f>H25*400</f>
        <v>8240000</v>
      </c>
      <c r="J25" s="106" t="s">
        <v>129</v>
      </c>
    </row>
    <row r="26" spans="2:10" ht="75">
      <c r="B26" s="104">
        <v>21</v>
      </c>
      <c r="C26" s="105" t="s">
        <v>18</v>
      </c>
      <c r="D26" s="106" t="s">
        <v>92</v>
      </c>
      <c r="E26" s="106" t="s">
        <v>12</v>
      </c>
      <c r="F26" s="107">
        <v>2000</v>
      </c>
      <c r="G26" s="104" t="s">
        <v>53</v>
      </c>
      <c r="H26" s="107">
        <f>+VLOOKUP(B26,COSTEO!B:K,10,0)</f>
        <v>20400</v>
      </c>
      <c r="I26" s="107">
        <f>H26*2000</f>
        <v>40800000</v>
      </c>
      <c r="J26" s="111" t="s">
        <v>16</v>
      </c>
    </row>
    <row r="27" spans="2:10" ht="75">
      <c r="B27" s="104">
        <v>22</v>
      </c>
      <c r="C27" s="105" t="s">
        <v>19</v>
      </c>
      <c r="D27" s="106" t="s">
        <v>93</v>
      </c>
      <c r="E27" s="106" t="s">
        <v>12</v>
      </c>
      <c r="F27" s="107">
        <v>2000</v>
      </c>
      <c r="G27" s="104" t="s">
        <v>53</v>
      </c>
      <c r="H27" s="107">
        <f>+VLOOKUP(B27,COSTEO!B:K,10,0)</f>
        <v>19800</v>
      </c>
      <c r="I27" s="107">
        <f>H27*2000</f>
        <v>39600000</v>
      </c>
      <c r="J27" s="106" t="s">
        <v>129</v>
      </c>
    </row>
    <row r="28" spans="2:10" ht="75">
      <c r="B28" s="104">
        <v>23</v>
      </c>
      <c r="C28" s="105" t="s">
        <v>18</v>
      </c>
      <c r="D28" s="106" t="s">
        <v>94</v>
      </c>
      <c r="E28" s="106" t="s">
        <v>12</v>
      </c>
      <c r="F28" s="107">
        <v>300</v>
      </c>
      <c r="G28" s="104" t="s">
        <v>53</v>
      </c>
      <c r="H28" s="107">
        <f>+VLOOKUP(B28,COSTEO!B:K,10,0)</f>
        <v>96400</v>
      </c>
      <c r="I28" s="107">
        <f>H28*300</f>
        <v>28920000</v>
      </c>
      <c r="J28" s="106" t="s">
        <v>132</v>
      </c>
    </row>
    <row r="29" spans="2:10" ht="75">
      <c r="B29" s="104">
        <v>24</v>
      </c>
      <c r="C29" s="105" t="s">
        <v>95</v>
      </c>
      <c r="D29" s="106" t="s">
        <v>96</v>
      </c>
      <c r="E29" s="106" t="s">
        <v>9</v>
      </c>
      <c r="F29" s="107">
        <v>500</v>
      </c>
      <c r="G29" s="104" t="s">
        <v>53</v>
      </c>
      <c r="H29" s="107">
        <f>+VLOOKUP(B29,COSTEO!B:K,10,0)</f>
        <v>87700</v>
      </c>
      <c r="I29" s="107">
        <f>H29*500</f>
        <v>43850000</v>
      </c>
      <c r="J29" s="106" t="s">
        <v>133</v>
      </c>
    </row>
    <row r="30" spans="2:10" ht="75">
      <c r="B30" s="104">
        <v>25</v>
      </c>
      <c r="C30" s="105" t="s">
        <v>95</v>
      </c>
      <c r="D30" s="106" t="s">
        <v>97</v>
      </c>
      <c r="E30" s="106" t="s">
        <v>9</v>
      </c>
      <c r="F30" s="107">
        <v>500</v>
      </c>
      <c r="G30" s="104" t="s">
        <v>53</v>
      </c>
      <c r="H30" s="107">
        <f>+VLOOKUP(B30,COSTEO!B:K,10,0)</f>
        <v>116500</v>
      </c>
      <c r="I30" s="107">
        <f>H30*500</f>
        <v>58250000</v>
      </c>
      <c r="J30" s="106" t="s">
        <v>134</v>
      </c>
    </row>
    <row r="31" spans="2:10" ht="75">
      <c r="B31" s="104">
        <v>26</v>
      </c>
      <c r="C31" s="105" t="s">
        <v>95</v>
      </c>
      <c r="D31" s="106" t="s">
        <v>98</v>
      </c>
      <c r="E31" s="106" t="s">
        <v>9</v>
      </c>
      <c r="F31" s="107">
        <v>200</v>
      </c>
      <c r="G31" s="104" t="s">
        <v>53</v>
      </c>
      <c r="H31" s="107">
        <f>+VLOOKUP(B31,COSTEO!B:K,10,0)</f>
        <v>20600</v>
      </c>
      <c r="I31" s="107">
        <f>H31*200</f>
        <v>4120000</v>
      </c>
      <c r="J31" s="106" t="s">
        <v>139</v>
      </c>
    </row>
    <row r="32" spans="2:10" ht="60">
      <c r="B32" s="104">
        <v>27</v>
      </c>
      <c r="C32" s="105" t="s">
        <v>95</v>
      </c>
      <c r="D32" s="106" t="s">
        <v>99</v>
      </c>
      <c r="E32" s="106" t="s">
        <v>15</v>
      </c>
      <c r="F32" s="107">
        <v>44</v>
      </c>
      <c r="G32" s="104" t="s">
        <v>53</v>
      </c>
      <c r="H32" s="107">
        <f>+VLOOKUP(B32,COSTEO!B:K,10,0)</f>
        <v>41200</v>
      </c>
      <c r="I32" s="107">
        <f>H32*44</f>
        <v>1812800</v>
      </c>
      <c r="J32" s="111" t="s">
        <v>135</v>
      </c>
    </row>
    <row r="33" spans="2:10" ht="60">
      <c r="B33" s="104">
        <v>28</v>
      </c>
      <c r="C33" s="105" t="s">
        <v>95</v>
      </c>
      <c r="D33" s="106" t="s">
        <v>100</v>
      </c>
      <c r="E33" s="106" t="s">
        <v>15</v>
      </c>
      <c r="F33" s="107">
        <v>44</v>
      </c>
      <c r="G33" s="104" t="s">
        <v>53</v>
      </c>
      <c r="H33" s="107">
        <f>+VLOOKUP(B33,COSTEO!B:K,10,0)</f>
        <v>41200</v>
      </c>
      <c r="I33" s="107">
        <f>H33*44</f>
        <v>1812800</v>
      </c>
      <c r="J33" s="111" t="s">
        <v>135</v>
      </c>
    </row>
    <row r="34" spans="2:10" ht="75">
      <c r="B34" s="104">
        <v>29</v>
      </c>
      <c r="C34" s="105" t="s">
        <v>19</v>
      </c>
      <c r="D34" s="106" t="s">
        <v>101</v>
      </c>
      <c r="E34" s="106" t="s">
        <v>15</v>
      </c>
      <c r="F34" s="107">
        <v>90</v>
      </c>
      <c r="G34" s="104" t="s">
        <v>53</v>
      </c>
      <c r="H34" s="107">
        <f>+VLOOKUP(B34,COSTEO!B:K,10,0)</f>
        <v>92400</v>
      </c>
      <c r="I34" s="107">
        <f>H34*90</f>
        <v>8316000</v>
      </c>
      <c r="J34" s="106" t="s">
        <v>129</v>
      </c>
    </row>
    <row r="35" spans="2:10" ht="75">
      <c r="B35" s="104">
        <v>30</v>
      </c>
      <c r="C35" s="105" t="s">
        <v>102</v>
      </c>
      <c r="D35" s="106" t="s">
        <v>103</v>
      </c>
      <c r="E35" s="106" t="s">
        <v>9</v>
      </c>
      <c r="F35" s="107">
        <v>400</v>
      </c>
      <c r="G35" s="104" t="s">
        <v>53</v>
      </c>
      <c r="H35" s="107">
        <f>+VLOOKUP(B35,COSTEO!B:K,10,0)</f>
        <v>27000</v>
      </c>
      <c r="I35" s="107">
        <f>H35*400</f>
        <v>10800000</v>
      </c>
      <c r="J35" s="106" t="s">
        <v>132</v>
      </c>
    </row>
    <row r="36" spans="2:10" ht="75">
      <c r="B36" s="104">
        <v>31</v>
      </c>
      <c r="C36" s="105" t="s">
        <v>95</v>
      </c>
      <c r="D36" s="106" t="s">
        <v>104</v>
      </c>
      <c r="E36" s="106" t="s">
        <v>15</v>
      </c>
      <c r="F36" s="107">
        <v>18</v>
      </c>
      <c r="G36" s="104" t="s">
        <v>53</v>
      </c>
      <c r="H36" s="107">
        <f>+VLOOKUP(B36,COSTEO!B:K,10,0)</f>
        <v>256500</v>
      </c>
      <c r="I36" s="107">
        <f>H36*18</f>
        <v>4617000</v>
      </c>
      <c r="J36" s="106" t="s">
        <v>133</v>
      </c>
    </row>
    <row r="37" spans="2:10" ht="75">
      <c r="B37" s="104">
        <v>32</v>
      </c>
      <c r="C37" s="105" t="s">
        <v>95</v>
      </c>
      <c r="D37" s="106" t="s">
        <v>105</v>
      </c>
      <c r="E37" s="106" t="s">
        <v>15</v>
      </c>
      <c r="F37" s="107">
        <v>18</v>
      </c>
      <c r="G37" s="104" t="s">
        <v>53</v>
      </c>
      <c r="H37" s="107">
        <f>+VLOOKUP(B37,COSTEO!B:K,10,0)</f>
        <v>1170200</v>
      </c>
      <c r="I37" s="107">
        <f>H37*18</f>
        <v>21063600</v>
      </c>
      <c r="J37" s="106" t="s">
        <v>134</v>
      </c>
    </row>
    <row r="38" spans="2:10" ht="135">
      <c r="B38" s="104">
        <v>33</v>
      </c>
      <c r="C38" s="105" t="s">
        <v>106</v>
      </c>
      <c r="D38" s="106" t="s">
        <v>107</v>
      </c>
      <c r="E38" s="106" t="s">
        <v>12</v>
      </c>
      <c r="F38" s="107">
        <v>21</v>
      </c>
      <c r="G38" s="104" t="s">
        <v>53</v>
      </c>
      <c r="H38" s="107">
        <f>+VLOOKUP(B38,COSTEO!B:K,10,0)</f>
        <v>185000</v>
      </c>
      <c r="I38" s="107">
        <f>H38*21</f>
        <v>3885000</v>
      </c>
      <c r="J38" s="111" t="s">
        <v>136</v>
      </c>
    </row>
    <row r="39" spans="2:10" ht="105">
      <c r="B39" s="104">
        <v>34</v>
      </c>
      <c r="C39" s="105" t="s">
        <v>106</v>
      </c>
      <c r="D39" s="106" t="s">
        <v>108</v>
      </c>
      <c r="E39" s="106" t="s">
        <v>12</v>
      </c>
      <c r="F39" s="107">
        <v>21</v>
      </c>
      <c r="G39" s="104" t="s">
        <v>53</v>
      </c>
      <c r="H39" s="107">
        <f>+VLOOKUP(B39,COSTEO!B:K,10,0)</f>
        <v>64300</v>
      </c>
      <c r="I39" s="107">
        <f>H39*21</f>
        <v>1350300</v>
      </c>
      <c r="J39" s="111" t="s">
        <v>137</v>
      </c>
    </row>
    <row r="40" spans="2:10" ht="75">
      <c r="B40" s="104">
        <v>35</v>
      </c>
      <c r="C40" s="105" t="s">
        <v>71</v>
      </c>
      <c r="D40" s="106" t="s">
        <v>109</v>
      </c>
      <c r="E40" s="106" t="s">
        <v>12</v>
      </c>
      <c r="F40" s="107">
        <v>2.7</v>
      </c>
      <c r="G40" s="104" t="s">
        <v>53</v>
      </c>
      <c r="H40" s="107">
        <f>+VLOOKUP(B40,COSTEO!B:K,10,0)</f>
        <v>22200</v>
      </c>
      <c r="I40" s="107">
        <f>H40*2.7</f>
        <v>59940.000000000007</v>
      </c>
      <c r="J40" s="106" t="s">
        <v>134</v>
      </c>
    </row>
    <row r="41" spans="2:10" ht="75">
      <c r="B41" s="104">
        <v>36</v>
      </c>
      <c r="C41" s="105" t="s">
        <v>110</v>
      </c>
      <c r="D41" s="106" t="s">
        <v>111</v>
      </c>
      <c r="E41" s="106" t="s">
        <v>9</v>
      </c>
      <c r="F41" s="107">
        <v>2.7</v>
      </c>
      <c r="G41" s="104" t="s">
        <v>53</v>
      </c>
      <c r="H41" s="107">
        <f>+VLOOKUP(B41,COSTEO!B:K,10,0)</f>
        <v>10800</v>
      </c>
      <c r="I41" s="107">
        <f>H41*2.7</f>
        <v>29160.000000000004</v>
      </c>
      <c r="J41" s="111" t="s">
        <v>10</v>
      </c>
    </row>
    <row r="42" spans="2:10" ht="75">
      <c r="B42" s="104">
        <v>37</v>
      </c>
      <c r="C42" s="105" t="s">
        <v>19</v>
      </c>
      <c r="D42" s="106" t="s">
        <v>112</v>
      </c>
      <c r="E42" s="106" t="s">
        <v>9</v>
      </c>
      <c r="F42" s="107">
        <v>2.7</v>
      </c>
      <c r="G42" s="104" t="s">
        <v>53</v>
      </c>
      <c r="H42" s="107">
        <f>+VLOOKUP(B42,COSTEO!B:K,10,0)</f>
        <v>6000</v>
      </c>
      <c r="I42" s="107">
        <f>H42*2.7</f>
        <v>16200.000000000002</v>
      </c>
      <c r="J42" s="106" t="s">
        <v>129</v>
      </c>
    </row>
    <row r="43" spans="2:10" ht="60">
      <c r="B43" s="104">
        <v>38</v>
      </c>
      <c r="C43" s="105" t="s">
        <v>113</v>
      </c>
      <c r="D43" s="106" t="s">
        <v>114</v>
      </c>
      <c r="E43" s="106" t="s">
        <v>15</v>
      </c>
      <c r="F43" s="107">
        <v>1</v>
      </c>
      <c r="G43" s="104" t="s">
        <v>53</v>
      </c>
      <c r="H43" s="107">
        <f>+VLOOKUP(B43,COSTEO!B:K,10,0)</f>
        <v>221000</v>
      </c>
      <c r="I43" s="107">
        <f>H43*1</f>
        <v>221000</v>
      </c>
      <c r="J43" s="111" t="s">
        <v>10</v>
      </c>
    </row>
    <row r="44" spans="2:10" ht="75">
      <c r="B44" s="104">
        <v>39</v>
      </c>
      <c r="C44" s="105" t="s">
        <v>19</v>
      </c>
      <c r="D44" s="106" t="s">
        <v>115</v>
      </c>
      <c r="E44" s="106" t="s">
        <v>15</v>
      </c>
      <c r="F44" s="107">
        <v>1</v>
      </c>
      <c r="G44" s="104" t="s">
        <v>53</v>
      </c>
      <c r="H44" s="107">
        <f>+VLOOKUP(B44,COSTEO!B:K,10,0)</f>
        <v>82600</v>
      </c>
      <c r="I44" s="107">
        <f>H44*1</f>
        <v>82600</v>
      </c>
      <c r="J44" s="106" t="s">
        <v>129</v>
      </c>
    </row>
    <row r="45" spans="2:10" ht="60">
      <c r="B45" s="104">
        <v>40</v>
      </c>
      <c r="C45" s="105" t="s">
        <v>14</v>
      </c>
      <c r="D45" s="106" t="s">
        <v>116</v>
      </c>
      <c r="E45" s="106" t="s">
        <v>15</v>
      </c>
      <c r="F45" s="107">
        <v>1</v>
      </c>
      <c r="G45" s="104" t="s">
        <v>53</v>
      </c>
      <c r="H45" s="107">
        <f>+VLOOKUP(B45,COSTEO!B:K,10,0)</f>
        <v>381200</v>
      </c>
      <c r="I45" s="107">
        <f>H45*1</f>
        <v>381200</v>
      </c>
      <c r="J45" s="111" t="s">
        <v>10</v>
      </c>
    </row>
    <row r="46" spans="2:10" ht="75">
      <c r="B46" s="104">
        <v>41</v>
      </c>
      <c r="C46" s="105" t="s">
        <v>19</v>
      </c>
      <c r="D46" s="106" t="s">
        <v>117</v>
      </c>
      <c r="E46" s="106" t="s">
        <v>15</v>
      </c>
      <c r="F46" s="107">
        <v>1</v>
      </c>
      <c r="G46" s="104" t="s">
        <v>53</v>
      </c>
      <c r="H46" s="107">
        <f>+VLOOKUP(B46,COSTEO!B:K,10,0)</f>
        <v>81800</v>
      </c>
      <c r="I46" s="107">
        <f>H46*1</f>
        <v>81800</v>
      </c>
      <c r="J46" s="106" t="s">
        <v>129</v>
      </c>
    </row>
    <row r="47" spans="2:10" ht="75">
      <c r="B47" s="104">
        <v>42</v>
      </c>
      <c r="C47" s="105" t="s">
        <v>18</v>
      </c>
      <c r="D47" s="106" t="s">
        <v>118</v>
      </c>
      <c r="E47" s="106" t="s">
        <v>12</v>
      </c>
      <c r="F47" s="107">
        <v>3</v>
      </c>
      <c r="G47" s="104" t="s">
        <v>53</v>
      </c>
      <c r="H47" s="107">
        <f>+VLOOKUP(B47,COSTEO!B:K,10,0)</f>
        <v>12000</v>
      </c>
      <c r="I47" s="107">
        <f>H47*3</f>
        <v>36000</v>
      </c>
      <c r="J47" s="111" t="s">
        <v>16</v>
      </c>
    </row>
    <row r="48" spans="2:10" ht="75">
      <c r="B48" s="104">
        <v>43</v>
      </c>
      <c r="C48" s="105" t="s">
        <v>19</v>
      </c>
      <c r="D48" s="106" t="s">
        <v>119</v>
      </c>
      <c r="E48" s="106" t="s">
        <v>12</v>
      </c>
      <c r="F48" s="107">
        <v>3</v>
      </c>
      <c r="G48" s="104" t="s">
        <v>53</v>
      </c>
      <c r="H48" s="107">
        <f>+VLOOKUP(B48,COSTEO!B:K,10,0)</f>
        <v>15200</v>
      </c>
      <c r="I48" s="107">
        <f>H48*3</f>
        <v>45600</v>
      </c>
      <c r="J48" s="106" t="s">
        <v>129</v>
      </c>
    </row>
    <row r="49" spans="2:10" ht="75">
      <c r="B49" s="104">
        <v>44</v>
      </c>
      <c r="C49" s="105" t="s">
        <v>14</v>
      </c>
      <c r="D49" s="106" t="s">
        <v>120</v>
      </c>
      <c r="E49" s="106" t="s">
        <v>12</v>
      </c>
      <c r="F49" s="107">
        <v>1</v>
      </c>
      <c r="G49" s="104" t="s">
        <v>53</v>
      </c>
      <c r="H49" s="107">
        <f>+VLOOKUP(B49,COSTEO!B:K,10,0)</f>
        <v>691700</v>
      </c>
      <c r="I49" s="107">
        <f>H49*1</f>
        <v>691700</v>
      </c>
      <c r="J49" s="106" t="s">
        <v>132</v>
      </c>
    </row>
    <row r="50" spans="2:10" ht="75">
      <c r="B50" s="104">
        <v>45</v>
      </c>
      <c r="C50" s="105" t="s">
        <v>121</v>
      </c>
      <c r="D50" s="106" t="s">
        <v>122</v>
      </c>
      <c r="E50" s="106" t="s">
        <v>12</v>
      </c>
      <c r="F50" s="107">
        <v>12.6</v>
      </c>
      <c r="G50" s="104" t="s">
        <v>53</v>
      </c>
      <c r="H50" s="107">
        <f>+VLOOKUP(B50,COSTEO!B:K,10,0)</f>
        <v>80000</v>
      </c>
      <c r="I50" s="107">
        <f>H50*12.6</f>
        <v>1008000</v>
      </c>
      <c r="J50" s="111" t="s">
        <v>13</v>
      </c>
    </row>
    <row r="51" spans="2:10" ht="75">
      <c r="B51" s="104">
        <v>46</v>
      </c>
      <c r="C51" s="105" t="s">
        <v>19</v>
      </c>
      <c r="D51" s="106" t="s">
        <v>123</v>
      </c>
      <c r="E51" s="106" t="s">
        <v>12</v>
      </c>
      <c r="F51" s="107">
        <v>12.6</v>
      </c>
      <c r="G51" s="104" t="s">
        <v>53</v>
      </c>
      <c r="H51" s="107">
        <f>+VLOOKUP(B51,COSTEO!B:K,10,0)</f>
        <v>67000</v>
      </c>
      <c r="I51" s="107">
        <f>H51*12.6</f>
        <v>844200</v>
      </c>
      <c r="J51" s="106" t="s">
        <v>129</v>
      </c>
    </row>
    <row r="52" spans="2:10" ht="75">
      <c r="B52" s="104">
        <v>47</v>
      </c>
      <c r="C52" s="105" t="s">
        <v>95</v>
      </c>
      <c r="D52" s="106" t="s">
        <v>98</v>
      </c>
      <c r="E52" s="106" t="s">
        <v>9</v>
      </c>
      <c r="F52" s="107">
        <v>10</v>
      </c>
      <c r="G52" s="104" t="s">
        <v>53</v>
      </c>
      <c r="H52" s="107">
        <f>+VLOOKUP(B52,COSTEO!B:K,10,0)</f>
        <v>20600</v>
      </c>
      <c r="I52" s="107">
        <f>H52*10</f>
        <v>206000</v>
      </c>
      <c r="J52" s="106" t="s">
        <v>132</v>
      </c>
    </row>
    <row r="53" spans="2:10" ht="60">
      <c r="B53" s="104">
        <v>48</v>
      </c>
      <c r="C53" s="105" t="s">
        <v>95</v>
      </c>
      <c r="D53" s="106" t="s">
        <v>124</v>
      </c>
      <c r="E53" s="106" t="s">
        <v>15</v>
      </c>
      <c r="F53" s="107">
        <v>3</v>
      </c>
      <c r="G53" s="104" t="s">
        <v>53</v>
      </c>
      <c r="H53" s="107">
        <f>+VLOOKUP(B53,COSTEO!B:K,10,0)</f>
        <v>25700</v>
      </c>
      <c r="I53" s="107">
        <f>H53*3</f>
        <v>77100</v>
      </c>
      <c r="J53" s="111" t="s">
        <v>135</v>
      </c>
    </row>
    <row r="54" spans="2:10" ht="75">
      <c r="B54" s="104">
        <v>49</v>
      </c>
      <c r="C54" s="105" t="s">
        <v>19</v>
      </c>
      <c r="D54" s="106" t="s">
        <v>101</v>
      </c>
      <c r="E54" s="106" t="s">
        <v>15</v>
      </c>
      <c r="F54" s="107">
        <v>3</v>
      </c>
      <c r="G54" s="104" t="s">
        <v>53</v>
      </c>
      <c r="H54" s="107">
        <f>+VLOOKUP(B54,COSTEO!B:K,10,0)</f>
        <v>92400</v>
      </c>
      <c r="I54" s="107">
        <f>H54*3</f>
        <v>277200</v>
      </c>
      <c r="J54" s="106" t="s">
        <v>129</v>
      </c>
    </row>
    <row r="55" spans="2:10" ht="60">
      <c r="B55" s="104">
        <v>50</v>
      </c>
      <c r="C55" s="105" t="s">
        <v>95</v>
      </c>
      <c r="D55" s="106" t="s">
        <v>125</v>
      </c>
      <c r="E55" s="106" t="s">
        <v>15</v>
      </c>
      <c r="F55" s="107">
        <v>2</v>
      </c>
      <c r="G55" s="104" t="s">
        <v>53</v>
      </c>
      <c r="H55" s="107">
        <f>+VLOOKUP(B55,COSTEO!B:K,10,0)</f>
        <v>200200</v>
      </c>
      <c r="I55" s="107">
        <f>H55*2</f>
        <v>400400</v>
      </c>
      <c r="J55" s="111" t="s">
        <v>138</v>
      </c>
    </row>
    <row r="56" spans="2:10" ht="75">
      <c r="B56" s="104">
        <v>51</v>
      </c>
      <c r="C56" s="105" t="s">
        <v>19</v>
      </c>
      <c r="D56" s="106" t="s">
        <v>126</v>
      </c>
      <c r="E56" s="106" t="s">
        <v>15</v>
      </c>
      <c r="F56" s="107">
        <v>2</v>
      </c>
      <c r="G56" s="104" t="s">
        <v>53</v>
      </c>
      <c r="H56" s="107">
        <f>+VLOOKUP(B56,COSTEO!B:K,10,0)</f>
        <v>63100</v>
      </c>
      <c r="I56" s="107">
        <f>H56*2</f>
        <v>126200</v>
      </c>
      <c r="J56" s="106" t="s">
        <v>129</v>
      </c>
    </row>
    <row r="57" spans="2:10">
      <c r="H57" s="105" t="s">
        <v>21</v>
      </c>
      <c r="I57" s="107">
        <f>I6+I7+I8+I9+I10+I11+I12+I13+I14+I15+I16+I17+I18+I19+I20+I21+I22+I23+I24+I25+I26+I27+I28+I29+I30+I31+I32+I33+I34+I35+I36+I37+I38+I39+I40+I41+I42+I43+I44+I45+I46+I47+I48+I49+I50+I51+I52+I53+I54+I55+I56</f>
        <v>640478800</v>
      </c>
    </row>
    <row r="60" spans="2:10" ht="21">
      <c r="H60" s="94" t="s">
        <v>22</v>
      </c>
      <c r="I60" s="95">
        <f>I57</f>
        <v>640478800</v>
      </c>
    </row>
    <row r="64" spans="2:10" ht="18.75">
      <c r="B64" s="109"/>
      <c r="C64" s="110" t="s">
        <v>23</v>
      </c>
      <c r="D64" s="113"/>
    </row>
    <row r="65" spans="2:4" ht="18.75">
      <c r="B65" s="109"/>
      <c r="C65" s="109" t="s">
        <v>24</v>
      </c>
      <c r="D65" s="114" t="s">
        <v>130</v>
      </c>
    </row>
    <row r="66" spans="2:4" ht="37.5">
      <c r="B66" s="109"/>
      <c r="C66" s="109" t="s">
        <v>25</v>
      </c>
      <c r="D66" s="114" t="s">
        <v>131</v>
      </c>
    </row>
  </sheetData>
  <autoFilter ref="B5:J57" xr:uid="{48570491-42FB-489E-8CD2-929CCC80F24D}"/>
  <mergeCells count="2">
    <mergeCell ref="B2:J2"/>
    <mergeCell ref="B4:J4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5"/>
  <sheetViews>
    <sheetView showGridLines="0" zoomScale="50" zoomScaleNormal="75" workbookViewId="0">
      <selection activeCell="I18" sqref="I18"/>
    </sheetView>
  </sheetViews>
  <sheetFormatPr baseColWidth="10" defaultColWidth="14.42578125" defaultRowHeight="15" customHeight="1"/>
  <cols>
    <col min="1" max="1" width="8.85546875" customWidth="1"/>
    <col min="2" max="2" width="6.85546875" customWidth="1"/>
    <col min="3" max="3" width="18.7109375" hidden="1" customWidth="1"/>
    <col min="4" max="4" width="48.85546875" customWidth="1"/>
    <col min="5" max="5" width="15.5703125" customWidth="1"/>
    <col min="6" max="6" width="10.5703125" customWidth="1"/>
    <col min="7" max="7" width="15.28515625" customWidth="1"/>
    <col min="8" max="8" width="18.42578125" customWidth="1"/>
    <col min="9" max="9" width="20.7109375" customWidth="1"/>
    <col min="10" max="10" width="40" customWidth="1"/>
    <col min="11" max="11" width="20" style="82" customWidth="1"/>
    <col min="12" max="12" width="26.28515625" style="82" customWidth="1"/>
    <col min="13" max="17" width="15.140625" style="82" customWidth="1"/>
    <col min="18" max="18" width="18.28515625" bestFit="1" customWidth="1"/>
    <col min="19" max="19" width="18.28515625" customWidth="1"/>
    <col min="20" max="20" width="15.140625" customWidth="1"/>
    <col min="21" max="21" width="8.85546875" customWidth="1"/>
    <col min="22" max="24" width="11.140625" bestFit="1" customWidth="1"/>
    <col min="25" max="27" width="8.85546875" customWidth="1"/>
  </cols>
  <sheetData>
    <row r="1" spans="1:27">
      <c r="A1" s="1"/>
      <c r="B1" s="2"/>
      <c r="C1" s="2" t="s">
        <v>26</v>
      </c>
      <c r="D1" s="3">
        <f>SUM(P15:P65)</f>
        <v>999063539.79999995</v>
      </c>
      <c r="E1" s="4"/>
      <c r="F1" s="5"/>
      <c r="G1" s="2"/>
      <c r="H1" s="4"/>
      <c r="I1" s="4"/>
      <c r="J1" s="6" t="s">
        <v>27</v>
      </c>
      <c r="K1" s="7">
        <v>1</v>
      </c>
      <c r="L1" s="76"/>
      <c r="M1" s="77"/>
      <c r="N1" s="8">
        <v>0.8</v>
      </c>
      <c r="O1" s="9">
        <v>1</v>
      </c>
      <c r="P1" s="9">
        <f>+COUNTIF(A:A,O1)</f>
        <v>17</v>
      </c>
      <c r="Q1" s="78">
        <f ca="1">+SUMIF(A:A,O1,$R$15:$R$65)</f>
        <v>6441740</v>
      </c>
      <c r="R1" s="11">
        <f ca="1">+Q1/$S$7</f>
        <v>1.0057694337423815E-2</v>
      </c>
      <c r="S1" s="9">
        <f>+COUNTIF(A:A,T1)</f>
        <v>4</v>
      </c>
      <c r="T1" s="12">
        <v>11</v>
      </c>
      <c r="U1" s="98">
        <v>0.3</v>
      </c>
      <c r="V1" s="78">
        <f ca="1">+SUMIF(A:A,T1,$R$15:$R$65)</f>
        <v>9020200</v>
      </c>
      <c r="W1" s="11">
        <f ca="1">+V1/$S$7</f>
        <v>1.4083526261915304E-2</v>
      </c>
      <c r="X1" s="1"/>
      <c r="Y1" s="13"/>
    </row>
    <row r="2" spans="1:27">
      <c r="A2" s="1"/>
      <c r="B2" s="2"/>
      <c r="C2" s="2" t="s">
        <v>28</v>
      </c>
      <c r="D2" s="3">
        <f>SUM(R15:R65)</f>
        <v>640478800</v>
      </c>
      <c r="E2" s="4"/>
      <c r="F2" s="2"/>
      <c r="G2" s="2"/>
      <c r="H2" s="4"/>
      <c r="I2" s="4"/>
      <c r="J2" s="5" t="s">
        <v>29</v>
      </c>
      <c r="K2" s="14">
        <v>1</v>
      </c>
      <c r="L2" s="77"/>
      <c r="M2" s="77"/>
      <c r="N2" s="8">
        <v>0.45</v>
      </c>
      <c r="O2" s="96">
        <v>2</v>
      </c>
      <c r="P2" s="96">
        <f t="shared" ref="P2:P6" si="0">+COUNTIF(A:A,O2)</f>
        <v>4</v>
      </c>
      <c r="Q2" s="79">
        <f ca="1">+SUMIF(A:A,O2,$R$15:$R$65)</f>
        <v>23160000</v>
      </c>
      <c r="R2" s="16">
        <f ca="1">+Q2/$S$7</f>
        <v>3.6160447465240067E-2</v>
      </c>
      <c r="S2" s="9">
        <f t="shared" ref="S2:S3" si="1">+COUNTIF(A:A,T2)</f>
        <v>0</v>
      </c>
      <c r="T2" s="15">
        <v>12</v>
      </c>
      <c r="U2" s="99">
        <v>0.2</v>
      </c>
      <c r="V2" s="78">
        <f t="shared" ref="V2:V3" ca="1" si="2">+SUMIF(A:A,T2,$R$15:$R$65)</f>
        <v>0</v>
      </c>
      <c r="W2" s="11">
        <f ca="1">+V2/$S$7</f>
        <v>0</v>
      </c>
      <c r="X2" s="1"/>
      <c r="Y2" s="13"/>
    </row>
    <row r="3" spans="1:27">
      <c r="A3" s="1"/>
      <c r="B3" s="2"/>
      <c r="C3" s="2" t="str">
        <f ca="1">IFERROR(__xludf.DUMMYFUNCTION("+R8"),"% del referencial")</f>
        <v>% del referencial</v>
      </c>
      <c r="D3" s="17">
        <f>+D2/D1</f>
        <v>0.64107914510444042</v>
      </c>
      <c r="E3" s="5"/>
      <c r="F3" s="4"/>
      <c r="G3" s="2"/>
      <c r="H3" s="4"/>
      <c r="I3" s="4"/>
      <c r="J3" s="5"/>
      <c r="K3" s="4"/>
      <c r="L3" s="77"/>
      <c r="M3" s="77"/>
      <c r="N3" s="8">
        <v>0.6</v>
      </c>
      <c r="O3" s="9">
        <v>3</v>
      </c>
      <c r="P3" s="9">
        <f t="shared" si="0"/>
        <v>8</v>
      </c>
      <c r="Q3" s="78">
        <f ca="1">+SUMIF(A:A,O3,$R$15:$R$65)</f>
        <v>123913960</v>
      </c>
      <c r="R3" s="11">
        <f ca="1">+Q3/$S$7</f>
        <v>0.19347082214118563</v>
      </c>
      <c r="S3" s="9">
        <f t="shared" si="1"/>
        <v>11</v>
      </c>
      <c r="T3" s="10">
        <v>13</v>
      </c>
      <c r="U3" s="100">
        <v>0.5</v>
      </c>
      <c r="V3" s="78">
        <f t="shared" ca="1" si="2"/>
        <v>61896100</v>
      </c>
      <c r="W3" s="11">
        <f ca="1">+V3/$S$7</f>
        <v>9.6640357182782632E-2</v>
      </c>
      <c r="X3" s="1"/>
      <c r="Y3" s="13"/>
    </row>
    <row r="4" spans="1:27">
      <c r="A4" s="1"/>
      <c r="B4" s="2"/>
      <c r="C4" s="2" t="s">
        <v>30</v>
      </c>
      <c r="D4" s="3">
        <f>+D1*0.6</f>
        <v>599438123.88</v>
      </c>
      <c r="E4" s="5"/>
      <c r="F4" s="5"/>
      <c r="G4" s="2"/>
      <c r="H4" s="4"/>
      <c r="I4" s="4"/>
      <c r="J4" s="5"/>
      <c r="K4" s="4"/>
      <c r="L4" s="77"/>
      <c r="M4" s="77"/>
      <c r="N4" s="8">
        <v>0.85</v>
      </c>
      <c r="O4" s="96">
        <v>4</v>
      </c>
      <c r="P4" s="96">
        <f t="shared" si="0"/>
        <v>5</v>
      </c>
      <c r="Q4" s="79">
        <f ca="1">+SUMIF(A:A,O4,$R$15:$R$65)</f>
        <v>75229800</v>
      </c>
      <c r="R4" s="16">
        <f ca="1">+Q4/$S$7</f>
        <v>0.11745868871850247</v>
      </c>
      <c r="S4" s="97"/>
      <c r="T4" s="13"/>
      <c r="U4" s="13"/>
      <c r="V4" s="18"/>
      <c r="W4" s="4"/>
      <c r="X4" s="1"/>
      <c r="Y4" s="1"/>
      <c r="Z4" s="13"/>
    </row>
    <row r="5" spans="1:27">
      <c r="A5" s="1"/>
      <c r="B5" s="2"/>
      <c r="C5" s="2" t="s">
        <v>31</v>
      </c>
      <c r="D5" s="3">
        <f>+D1-D4</f>
        <v>399625415.91999996</v>
      </c>
      <c r="E5" s="2"/>
      <c r="F5" s="2"/>
      <c r="G5" s="2"/>
      <c r="H5" s="4"/>
      <c r="I5" s="4"/>
      <c r="J5" s="5"/>
      <c r="K5" s="4"/>
      <c r="L5" s="77"/>
      <c r="M5" s="77"/>
      <c r="N5" s="8">
        <v>1.1499999999999999</v>
      </c>
      <c r="O5" s="9">
        <v>5</v>
      </c>
      <c r="P5" s="9">
        <f t="shared" si="0"/>
        <v>1</v>
      </c>
      <c r="Q5" s="78">
        <f ca="1">+SUMIF(A:A,O5,$R$15:$R$65)</f>
        <v>4770000</v>
      </c>
      <c r="R5" s="11">
        <f ca="1">+Q5/$S$7</f>
        <v>7.447553299188045E-3</v>
      </c>
      <c r="S5" s="97"/>
      <c r="T5" s="13"/>
      <c r="U5" s="13"/>
      <c r="V5" s="18"/>
      <c r="W5" s="4"/>
      <c r="X5" s="1"/>
      <c r="Y5" s="1"/>
      <c r="Z5" s="13"/>
    </row>
    <row r="6" spans="1:27">
      <c r="A6" s="1"/>
      <c r="B6" s="2"/>
      <c r="C6" s="2"/>
      <c r="D6" s="3"/>
      <c r="E6" s="2"/>
      <c r="F6" s="2"/>
      <c r="G6" s="2"/>
      <c r="H6" s="4"/>
      <c r="I6" s="4"/>
      <c r="J6" s="5"/>
      <c r="K6" s="4"/>
      <c r="L6" s="77"/>
      <c r="M6" s="77"/>
      <c r="N6" s="8">
        <v>2.8</v>
      </c>
      <c r="O6" s="96">
        <v>6</v>
      </c>
      <c r="P6" s="96">
        <f t="shared" si="0"/>
        <v>1</v>
      </c>
      <c r="Q6" s="79">
        <f ca="1">+SUMIF(A:A,O6,$R$15:$R$65)</f>
        <v>4860000</v>
      </c>
      <c r="R6" s="16">
        <f ca="1">+Q6/$S$7</f>
        <v>7.588073172757631E-3</v>
      </c>
      <c r="S6" s="97"/>
      <c r="T6" s="13"/>
      <c r="U6" s="13"/>
      <c r="V6" s="18"/>
      <c r="W6" s="4"/>
      <c r="X6" s="1"/>
      <c r="Y6" s="1"/>
      <c r="Z6" s="13"/>
    </row>
    <row r="7" spans="1:27">
      <c r="A7" s="1"/>
      <c r="B7" s="2"/>
      <c r="C7" s="2"/>
      <c r="D7" s="3" t="s">
        <v>32</v>
      </c>
      <c r="E7" s="2" t="s">
        <v>33</v>
      </c>
      <c r="F7" s="2" t="s">
        <v>33</v>
      </c>
      <c r="G7" s="2"/>
      <c r="H7" s="4" t="s">
        <v>34</v>
      </c>
      <c r="I7" s="4"/>
      <c r="J7" s="5"/>
      <c r="K7" s="4"/>
      <c r="L7" s="77"/>
      <c r="M7" s="77"/>
      <c r="N7" s="5"/>
      <c r="O7" s="5"/>
      <c r="P7" s="13">
        <f>SUM(P1:P6,S1:S3)</f>
        <v>51</v>
      </c>
      <c r="Q7" s="13"/>
      <c r="R7" s="1" t="s">
        <v>28</v>
      </c>
      <c r="S7" s="4">
        <f>+D2</f>
        <v>640478800</v>
      </c>
      <c r="U7" s="13"/>
      <c r="V7" s="13"/>
      <c r="W7" s="18"/>
      <c r="X7" s="4"/>
      <c r="Y7" s="1"/>
      <c r="Z7" s="1"/>
      <c r="AA7" s="13"/>
    </row>
    <row r="8" spans="1:27" ht="18.75">
      <c r="A8" s="1"/>
      <c r="B8" s="2"/>
      <c r="C8" s="19">
        <v>1</v>
      </c>
      <c r="D8" s="20">
        <v>2</v>
      </c>
      <c r="E8" s="19">
        <v>3</v>
      </c>
      <c r="F8" s="19">
        <v>4</v>
      </c>
      <c r="G8" s="19">
        <v>5</v>
      </c>
      <c r="H8" s="19">
        <v>6</v>
      </c>
      <c r="I8" s="19">
        <v>11</v>
      </c>
      <c r="J8" s="19">
        <v>12</v>
      </c>
      <c r="K8" s="21">
        <v>13</v>
      </c>
      <c r="L8" s="77"/>
      <c r="M8" s="76"/>
      <c r="N8" s="1"/>
      <c r="O8" s="1"/>
      <c r="P8" s="13"/>
      <c r="Q8" s="1"/>
      <c r="R8" s="2" t="s">
        <v>35</v>
      </c>
      <c r="S8" s="17">
        <f>+S7/D1</f>
        <v>0.64107914510444042</v>
      </c>
      <c r="U8" s="18"/>
      <c r="V8" s="4"/>
      <c r="W8" s="2"/>
      <c r="X8" s="2"/>
      <c r="Y8" s="1"/>
      <c r="Z8" s="1"/>
      <c r="AA8" s="13"/>
    </row>
    <row r="9" spans="1:27" ht="18.75">
      <c r="A9" s="1"/>
      <c r="B9" s="2"/>
      <c r="C9" s="22">
        <f>+N1</f>
        <v>0.8</v>
      </c>
      <c r="D9" s="23">
        <f>+N2</f>
        <v>0.45</v>
      </c>
      <c r="E9" s="22">
        <f>+N3</f>
        <v>0.6</v>
      </c>
      <c r="F9" s="23">
        <f>+N4</f>
        <v>0.85</v>
      </c>
      <c r="G9" s="23">
        <f>+N5</f>
        <v>1.1499999999999999</v>
      </c>
      <c r="H9" s="22">
        <f>+N6</f>
        <v>2.8</v>
      </c>
      <c r="I9" s="23">
        <f>+U1</f>
        <v>0.3</v>
      </c>
      <c r="J9" s="22">
        <f>+U2</f>
        <v>0.2</v>
      </c>
      <c r="K9" s="24">
        <f>+U3</f>
        <v>0.5</v>
      </c>
      <c r="L9" s="77"/>
      <c r="M9" s="76"/>
      <c r="N9" s="81"/>
      <c r="O9" s="81"/>
      <c r="P9" s="81"/>
      <c r="Q9" s="80"/>
      <c r="R9" s="5"/>
      <c r="S9" s="5"/>
      <c r="T9" s="13"/>
      <c r="U9" s="13"/>
      <c r="V9" s="4"/>
      <c r="W9" s="2"/>
      <c r="X9" s="2"/>
      <c r="Y9" s="1"/>
      <c r="Z9" s="1"/>
      <c r="AA9" s="13"/>
    </row>
    <row r="10" spans="1:27">
      <c r="A10" s="1"/>
      <c r="B10" s="2"/>
      <c r="C10" s="2"/>
      <c r="D10" s="3"/>
      <c r="E10" s="2"/>
      <c r="F10" s="2"/>
      <c r="G10" s="2"/>
      <c r="H10" s="4"/>
      <c r="I10" s="4"/>
      <c r="J10" s="5"/>
      <c r="K10" s="4"/>
      <c r="L10" s="77"/>
      <c r="M10" s="76"/>
      <c r="N10" s="81"/>
      <c r="O10" s="81"/>
      <c r="P10" s="81"/>
      <c r="Q10" s="81"/>
      <c r="R10" s="1"/>
      <c r="S10" s="1"/>
      <c r="T10" s="1"/>
      <c r="U10" s="1"/>
      <c r="V10" s="2"/>
      <c r="W10" s="2"/>
      <c r="X10" s="2"/>
      <c r="Y10" s="1"/>
      <c r="Z10" s="1"/>
      <c r="AA10" s="13"/>
    </row>
    <row r="11" spans="1:27" ht="15" customHeight="1">
      <c r="A11" s="2"/>
      <c r="B11" s="59" t="s">
        <v>69</v>
      </c>
      <c r="C11" s="59"/>
      <c r="D11" s="59"/>
      <c r="E11" s="59"/>
      <c r="F11" s="59"/>
      <c r="G11" s="59"/>
      <c r="H11" s="2"/>
      <c r="I11" s="25"/>
      <c r="J11" s="26"/>
      <c r="K11" s="80"/>
      <c r="L11" s="77"/>
      <c r="M11" s="77"/>
      <c r="N11" s="80"/>
      <c r="P11" s="80"/>
      <c r="Q11" s="80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/>
      <c r="B12" s="60"/>
      <c r="C12" s="60"/>
      <c r="D12" s="60"/>
      <c r="E12" s="60"/>
      <c r="F12" s="60"/>
      <c r="G12" s="60"/>
      <c r="H12" s="2"/>
      <c r="I12" s="2"/>
      <c r="J12" s="2"/>
      <c r="K12" s="80"/>
      <c r="L12" s="77"/>
      <c r="M12" s="77"/>
      <c r="N12" s="80"/>
      <c r="O12" s="80"/>
      <c r="P12" s="80"/>
      <c r="Q12" s="80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42" customHeight="1">
      <c r="A13" s="75"/>
      <c r="B13" s="72" t="s">
        <v>70</v>
      </c>
      <c r="C13" s="62"/>
      <c r="D13" s="62"/>
      <c r="E13" s="62"/>
      <c r="F13" s="62"/>
      <c r="G13" s="62"/>
      <c r="H13" s="63"/>
      <c r="I13" s="63"/>
      <c r="J13" s="63"/>
      <c r="K13" s="84"/>
      <c r="L13" s="83"/>
      <c r="M13" s="83"/>
      <c r="N13" s="84"/>
      <c r="O13" s="84"/>
      <c r="P13" s="80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31.5">
      <c r="A14" s="75"/>
      <c r="B14" s="73" t="s">
        <v>0</v>
      </c>
      <c r="C14" s="65" t="s">
        <v>1</v>
      </c>
      <c r="D14" s="65" t="s">
        <v>2</v>
      </c>
      <c r="E14" s="65" t="s">
        <v>3</v>
      </c>
      <c r="F14" s="65" t="s">
        <v>4</v>
      </c>
      <c r="G14" s="65" t="s">
        <v>5</v>
      </c>
      <c r="H14" s="66" t="s">
        <v>6</v>
      </c>
      <c r="I14" s="66" t="s">
        <v>36</v>
      </c>
      <c r="J14" s="66"/>
      <c r="K14" s="84"/>
      <c r="L14" s="85" t="s">
        <v>127</v>
      </c>
      <c r="M14" s="85"/>
      <c r="N14" s="86" t="s">
        <v>35</v>
      </c>
      <c r="O14" s="87" t="s">
        <v>37</v>
      </c>
      <c r="P14" s="88" t="s">
        <v>128</v>
      </c>
      <c r="Q14" s="80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75">
      <c r="A15" s="75">
        <v>6</v>
      </c>
      <c r="B15" s="74">
        <v>1</v>
      </c>
      <c r="C15" s="68" t="s">
        <v>71</v>
      </c>
      <c r="D15" s="68" t="s">
        <v>72</v>
      </c>
      <c r="E15" s="68" t="s">
        <v>12</v>
      </c>
      <c r="F15" s="69">
        <v>900</v>
      </c>
      <c r="G15" s="67" t="s">
        <v>53</v>
      </c>
      <c r="H15" s="70">
        <f>+IFERROR(CEILING(HLOOKUP(A15,$B$8:$K$9,2,0)*L15,10),"")</f>
        <v>29010</v>
      </c>
      <c r="I15" s="71">
        <f t="shared" ref="I15:I65" si="3">IFERROR(J15/O15,"")</f>
        <v>0.11538461538461539</v>
      </c>
      <c r="J15" s="64">
        <f>IFERROR(K15-O15,"")</f>
        <v>3000</v>
      </c>
      <c r="K15" s="84">
        <f>IFERROR(FLOOR(IF(AND((H15-L15)/L15&lt;-0.25,(H15-O15)&lt;0),IF(O15&gt;L15,L15*K$1,K$2*O15),H15),100),"")</f>
        <v>29000</v>
      </c>
      <c r="L15" s="83">
        <v>10360</v>
      </c>
      <c r="M15" s="89">
        <f t="shared" ref="M15:M65" si="4">IFERROR(K15-H15,"")</f>
        <v>-10</v>
      </c>
      <c r="N15" s="90">
        <f t="shared" ref="N15:N65" si="5">IFERROR(H15/L15,"")</f>
        <v>2.8001930501930503</v>
      </c>
      <c r="O15" s="91">
        <v>26000</v>
      </c>
      <c r="P15" s="88">
        <f>+L15*F15</f>
        <v>9324000</v>
      </c>
      <c r="Q15" s="80">
        <f>+O15*F15</f>
        <v>23400000</v>
      </c>
      <c r="R15" s="80">
        <f>IFERROR(K15*F15,"")</f>
        <v>26100000</v>
      </c>
      <c r="S15" s="80"/>
      <c r="T15" s="2"/>
      <c r="U15" s="2"/>
      <c r="V15" s="2"/>
      <c r="W15" s="2"/>
      <c r="X15" s="2"/>
      <c r="Y15" s="2"/>
      <c r="Z15" s="2"/>
      <c r="AA15" s="2"/>
    </row>
    <row r="16" spans="1:27" ht="75">
      <c r="A16" s="75">
        <v>1</v>
      </c>
      <c r="B16" s="74">
        <v>2</v>
      </c>
      <c r="C16" s="68" t="s">
        <v>73</v>
      </c>
      <c r="D16" s="68" t="s">
        <v>74</v>
      </c>
      <c r="E16" s="68" t="s">
        <v>12</v>
      </c>
      <c r="F16" s="69">
        <v>900</v>
      </c>
      <c r="G16" s="67" t="s">
        <v>53</v>
      </c>
      <c r="H16" s="70">
        <f t="shared" ref="H16:H65" si="6">+IFERROR(CEILING(HLOOKUP(A16,$B$8:$K$9,2,0)*L16,10),"")</f>
        <v>11840</v>
      </c>
      <c r="I16" s="71">
        <f t="shared" si="3"/>
        <v>8.478038815117471E-2</v>
      </c>
      <c r="J16" s="64">
        <f>IFERROR(K16-O16,"")</f>
        <v>922.22222222222263</v>
      </c>
      <c r="K16" s="84">
        <f t="shared" ref="K16:K65" si="7">IFERROR(FLOOR(IF(AND((H16-L16)/L16&lt;-0.25,(H16-O16)&lt;0),IF(O16&gt;L16,L16*K$1,K$2*O16),H16),100),"")</f>
        <v>11800</v>
      </c>
      <c r="L16" s="83">
        <v>14800</v>
      </c>
      <c r="M16" s="89">
        <f t="shared" si="4"/>
        <v>-40</v>
      </c>
      <c r="N16" s="90">
        <f t="shared" si="5"/>
        <v>0.8</v>
      </c>
      <c r="O16" s="91">
        <f>+((65000/50)*5)+(80000*0.02)+((40000/3.6)*0.25)</f>
        <v>10877.777777777777</v>
      </c>
      <c r="P16" s="88">
        <f t="shared" ref="P16:P65" si="8">+L16*F16</f>
        <v>13320000</v>
      </c>
      <c r="Q16" s="80">
        <f t="shared" ref="Q16:Q65" si="9">+O16*F16</f>
        <v>9790000</v>
      </c>
      <c r="R16" s="80">
        <f t="shared" ref="R16:R65" si="10">IFERROR(K16*F16,"")</f>
        <v>10620000</v>
      </c>
      <c r="S16" s="80"/>
      <c r="T16" s="2"/>
      <c r="U16" s="2"/>
      <c r="V16" s="2"/>
      <c r="W16" s="2"/>
      <c r="X16" s="2"/>
      <c r="Y16" s="2"/>
      <c r="Z16" s="2"/>
      <c r="AA16" s="2"/>
    </row>
    <row r="17" spans="1:27" ht="75">
      <c r="A17" s="75">
        <v>5</v>
      </c>
      <c r="B17" s="74">
        <v>3</v>
      </c>
      <c r="C17" s="68" t="s">
        <v>11</v>
      </c>
      <c r="D17" s="68" t="s">
        <v>75</v>
      </c>
      <c r="E17" s="68" t="s">
        <v>12</v>
      </c>
      <c r="F17" s="69">
        <v>900</v>
      </c>
      <c r="G17" s="67" t="s">
        <v>53</v>
      </c>
      <c r="H17" s="70">
        <f t="shared" si="6"/>
        <v>25530</v>
      </c>
      <c r="I17" s="71">
        <f t="shared" si="3"/>
        <v>-0.203125</v>
      </c>
      <c r="J17" s="64">
        <f t="shared" ref="J17:J65" si="11">IFERROR(K17-O17,"")</f>
        <v>-6500</v>
      </c>
      <c r="K17" s="84">
        <f t="shared" si="7"/>
        <v>25500</v>
      </c>
      <c r="L17" s="83">
        <v>22200</v>
      </c>
      <c r="M17" s="89">
        <f t="shared" si="4"/>
        <v>-30</v>
      </c>
      <c r="N17" s="90">
        <f t="shared" si="5"/>
        <v>1.1499999999999999</v>
      </c>
      <c r="O17" s="91">
        <v>32000</v>
      </c>
      <c r="P17" s="88">
        <f t="shared" si="8"/>
        <v>19980000</v>
      </c>
      <c r="Q17" s="80">
        <f t="shared" si="9"/>
        <v>28800000</v>
      </c>
      <c r="R17" s="80">
        <f t="shared" si="10"/>
        <v>22950000</v>
      </c>
      <c r="S17" s="80"/>
      <c r="T17" s="2"/>
      <c r="U17" s="2"/>
      <c r="V17" s="2"/>
      <c r="W17" s="2"/>
      <c r="X17" s="2"/>
      <c r="Y17" s="2"/>
      <c r="Z17" s="2"/>
      <c r="AA17" s="2"/>
    </row>
    <row r="18" spans="1:27" ht="75">
      <c r="A18" s="75">
        <v>4</v>
      </c>
      <c r="B18" s="74">
        <v>4</v>
      </c>
      <c r="C18" s="68" t="s">
        <v>18</v>
      </c>
      <c r="D18" s="68" t="s">
        <v>76</v>
      </c>
      <c r="E18" s="68" t="s">
        <v>12</v>
      </c>
      <c r="F18" s="69">
        <v>900</v>
      </c>
      <c r="G18" s="67" t="s">
        <v>53</v>
      </c>
      <c r="H18" s="70">
        <f t="shared" si="6"/>
        <v>70610</v>
      </c>
      <c r="I18" s="71">
        <f t="shared" si="3"/>
        <v>0.12420382165605096</v>
      </c>
      <c r="J18" s="64">
        <f t="shared" si="11"/>
        <v>7800</v>
      </c>
      <c r="K18" s="84">
        <f t="shared" si="7"/>
        <v>70600</v>
      </c>
      <c r="L18" s="83">
        <v>83063</v>
      </c>
      <c r="M18" s="89">
        <f t="shared" si="4"/>
        <v>-10</v>
      </c>
      <c r="N18" s="90">
        <f t="shared" si="5"/>
        <v>0.85007765190277262</v>
      </c>
      <c r="O18" s="91">
        <f>+((538000/20)*2)+9000</f>
        <v>62800</v>
      </c>
      <c r="P18" s="88">
        <f t="shared" si="8"/>
        <v>74756700</v>
      </c>
      <c r="Q18" s="80">
        <f t="shared" si="9"/>
        <v>56520000</v>
      </c>
      <c r="R18" s="80">
        <f t="shared" si="10"/>
        <v>63540000</v>
      </c>
      <c r="S18" s="80"/>
      <c r="T18" s="2"/>
      <c r="U18" s="2"/>
      <c r="V18" s="2"/>
      <c r="W18" s="2"/>
      <c r="X18" s="2"/>
      <c r="Y18" s="2"/>
      <c r="Z18" s="2"/>
      <c r="AA18" s="2"/>
    </row>
    <row r="19" spans="1:27" ht="75">
      <c r="A19" s="75">
        <v>4</v>
      </c>
      <c r="B19" s="74">
        <v>5</v>
      </c>
      <c r="C19" s="68" t="s">
        <v>11</v>
      </c>
      <c r="D19" s="68" t="s">
        <v>77</v>
      </c>
      <c r="E19" s="68" t="s">
        <v>12</v>
      </c>
      <c r="F19" s="69">
        <v>900</v>
      </c>
      <c r="G19" s="67" t="s">
        <v>53</v>
      </c>
      <c r="H19" s="70">
        <f t="shared" si="6"/>
        <v>21360</v>
      </c>
      <c r="I19" s="71">
        <f t="shared" si="3"/>
        <v>-0.2392857142857143</v>
      </c>
      <c r="J19" s="64">
        <f t="shared" si="11"/>
        <v>-6700</v>
      </c>
      <c r="K19" s="84">
        <f t="shared" si="7"/>
        <v>21300</v>
      </c>
      <c r="L19" s="83">
        <v>25119</v>
      </c>
      <c r="M19" s="89">
        <f t="shared" si="4"/>
        <v>-60</v>
      </c>
      <c r="N19" s="90">
        <f t="shared" si="5"/>
        <v>0.85035232294279228</v>
      </c>
      <c r="O19" s="91">
        <v>28000</v>
      </c>
      <c r="P19" s="88">
        <f t="shared" si="8"/>
        <v>22607100</v>
      </c>
      <c r="Q19" s="80">
        <f t="shared" si="9"/>
        <v>25200000</v>
      </c>
      <c r="R19" s="80">
        <f t="shared" si="10"/>
        <v>19170000</v>
      </c>
      <c r="S19" s="80"/>
      <c r="T19" s="2"/>
      <c r="U19" s="2"/>
      <c r="V19" s="2"/>
      <c r="W19" s="2"/>
      <c r="X19" s="2"/>
      <c r="Y19" s="2"/>
      <c r="Z19" s="2"/>
      <c r="AA19" s="2"/>
    </row>
    <row r="20" spans="1:27" ht="75">
      <c r="A20" s="75">
        <v>2</v>
      </c>
      <c r="B20" s="74">
        <v>6</v>
      </c>
      <c r="C20" s="68" t="s">
        <v>78</v>
      </c>
      <c r="D20" s="68" t="s">
        <v>79</v>
      </c>
      <c r="E20" s="68" t="s">
        <v>12</v>
      </c>
      <c r="F20" s="69">
        <v>300</v>
      </c>
      <c r="G20" s="67" t="s">
        <v>53</v>
      </c>
      <c r="H20" s="70">
        <f t="shared" si="6"/>
        <v>4780</v>
      </c>
      <c r="I20" s="71">
        <f t="shared" si="3"/>
        <v>-0.29333333333333333</v>
      </c>
      <c r="J20" s="64">
        <f t="shared" si="11"/>
        <v>-4400</v>
      </c>
      <c r="K20" s="84">
        <f t="shared" si="7"/>
        <v>10600</v>
      </c>
      <c r="L20" s="83">
        <v>10610</v>
      </c>
      <c r="M20" s="89">
        <f t="shared" si="4"/>
        <v>5820</v>
      </c>
      <c r="N20" s="90">
        <f t="shared" si="5"/>
        <v>0.45051837888784169</v>
      </c>
      <c r="O20" s="91">
        <v>15000</v>
      </c>
      <c r="P20" s="88">
        <f t="shared" si="8"/>
        <v>3183000</v>
      </c>
      <c r="Q20" s="80">
        <f t="shared" si="9"/>
        <v>4500000</v>
      </c>
      <c r="R20" s="80">
        <f t="shared" si="10"/>
        <v>3180000</v>
      </c>
      <c r="S20" s="80"/>
      <c r="T20" s="2"/>
      <c r="U20" s="2"/>
      <c r="V20" s="2"/>
      <c r="W20" s="2"/>
      <c r="X20" s="2"/>
      <c r="Y20" s="2"/>
      <c r="Z20" s="2"/>
      <c r="AA20" s="2"/>
    </row>
    <row r="21" spans="1:27" ht="75">
      <c r="A21" s="75">
        <v>3</v>
      </c>
      <c r="B21" s="74">
        <v>7</v>
      </c>
      <c r="C21" s="68" t="s">
        <v>17</v>
      </c>
      <c r="D21" s="68" t="s">
        <v>80</v>
      </c>
      <c r="E21" s="68" t="s">
        <v>12</v>
      </c>
      <c r="F21" s="69">
        <v>300</v>
      </c>
      <c r="G21" s="67" t="s">
        <v>53</v>
      </c>
      <c r="H21" s="70">
        <f t="shared" si="6"/>
        <v>15900</v>
      </c>
      <c r="I21" s="71">
        <f t="shared" si="3"/>
        <v>0.32745825602968465</v>
      </c>
      <c r="J21" s="64">
        <f t="shared" si="11"/>
        <v>3922.2222222222226</v>
      </c>
      <c r="K21" s="84">
        <f t="shared" si="7"/>
        <v>15900</v>
      </c>
      <c r="L21" s="83">
        <v>26491</v>
      </c>
      <c r="M21" s="89">
        <f t="shared" si="4"/>
        <v>0</v>
      </c>
      <c r="N21" s="90">
        <f t="shared" si="5"/>
        <v>0.60020384281454076</v>
      </c>
      <c r="O21" s="91">
        <f>+((65000/50)*2)+(80000*0.02)+((40000/3.6)*0.25)+((25000/20)*4)</f>
        <v>11977.777777777777</v>
      </c>
      <c r="P21" s="88">
        <f t="shared" si="8"/>
        <v>7947300</v>
      </c>
      <c r="Q21" s="80">
        <f t="shared" si="9"/>
        <v>3593333.333333333</v>
      </c>
      <c r="R21" s="80">
        <f t="shared" si="10"/>
        <v>4770000</v>
      </c>
      <c r="S21" s="80"/>
      <c r="T21" s="2"/>
      <c r="U21" s="2"/>
      <c r="V21" s="2"/>
      <c r="W21" s="2"/>
      <c r="X21" s="2"/>
      <c r="Y21" s="2"/>
      <c r="Z21" s="2"/>
      <c r="AA21" s="2"/>
    </row>
    <row r="22" spans="1:27" ht="75">
      <c r="A22" s="75">
        <v>4</v>
      </c>
      <c r="B22" s="74">
        <v>8</v>
      </c>
      <c r="C22" s="68" t="s">
        <v>11</v>
      </c>
      <c r="D22" s="68" t="s">
        <v>81</v>
      </c>
      <c r="E22" s="68" t="s">
        <v>12</v>
      </c>
      <c r="F22" s="69">
        <v>300</v>
      </c>
      <c r="G22" s="67" t="s">
        <v>53</v>
      </c>
      <c r="H22" s="70">
        <f t="shared" si="6"/>
        <v>28150</v>
      </c>
      <c r="I22" s="71">
        <f t="shared" si="3"/>
        <v>3.5714285714285713E-3</v>
      </c>
      <c r="J22" s="64">
        <f t="shared" si="11"/>
        <v>100</v>
      </c>
      <c r="K22" s="84">
        <f t="shared" si="7"/>
        <v>28100</v>
      </c>
      <c r="L22" s="83">
        <v>33114</v>
      </c>
      <c r="M22" s="89">
        <f t="shared" si="4"/>
        <v>-50</v>
      </c>
      <c r="N22" s="90">
        <f t="shared" si="5"/>
        <v>0.85009361599323552</v>
      </c>
      <c r="O22" s="91">
        <v>28000</v>
      </c>
      <c r="P22" s="88">
        <f t="shared" si="8"/>
        <v>9934200</v>
      </c>
      <c r="Q22" s="80">
        <f t="shared" si="9"/>
        <v>8400000</v>
      </c>
      <c r="R22" s="80">
        <f t="shared" si="10"/>
        <v>8430000</v>
      </c>
      <c r="S22" s="80"/>
      <c r="T22" s="2"/>
      <c r="U22" s="2"/>
      <c r="V22" s="2"/>
      <c r="W22" s="2"/>
      <c r="X22" s="2"/>
      <c r="Y22" s="2"/>
      <c r="Z22" s="2"/>
      <c r="AA22" s="2"/>
    </row>
    <row r="23" spans="1:27" ht="75">
      <c r="A23" s="75">
        <v>3</v>
      </c>
      <c r="B23" s="74">
        <v>9</v>
      </c>
      <c r="C23" s="68" t="s">
        <v>18</v>
      </c>
      <c r="D23" s="68" t="s">
        <v>82</v>
      </c>
      <c r="E23" s="68" t="s">
        <v>12</v>
      </c>
      <c r="F23" s="69">
        <v>900</v>
      </c>
      <c r="G23" s="67" t="s">
        <v>53</v>
      </c>
      <c r="H23" s="70">
        <f t="shared" si="6"/>
        <v>15330</v>
      </c>
      <c r="I23" s="71">
        <f t="shared" si="3"/>
        <v>0.22387761223877611</v>
      </c>
      <c r="J23" s="64">
        <f t="shared" si="11"/>
        <v>2798.75</v>
      </c>
      <c r="K23" s="84">
        <f t="shared" si="7"/>
        <v>15300</v>
      </c>
      <c r="L23" s="83">
        <v>25539</v>
      </c>
      <c r="M23" s="89">
        <f t="shared" si="4"/>
        <v>-30</v>
      </c>
      <c r="N23" s="90">
        <f t="shared" si="5"/>
        <v>0.60025842828615061</v>
      </c>
      <c r="O23" s="91">
        <f>+((455000/16)*0.3)+((34000/15)*1.2)+(5000*0.25)</f>
        <v>12501.25</v>
      </c>
      <c r="P23" s="88">
        <f t="shared" si="8"/>
        <v>22985100</v>
      </c>
      <c r="Q23" s="80">
        <f t="shared" si="9"/>
        <v>11251125</v>
      </c>
      <c r="R23" s="80">
        <f t="shared" si="10"/>
        <v>13770000</v>
      </c>
      <c r="S23" s="80"/>
      <c r="T23" s="2"/>
      <c r="U23" s="2"/>
      <c r="V23" s="2"/>
      <c r="W23" s="2"/>
      <c r="X23" s="2"/>
      <c r="Y23" s="2"/>
      <c r="Z23" s="2"/>
      <c r="AA23" s="2"/>
    </row>
    <row r="24" spans="1:27" ht="75">
      <c r="A24" s="75">
        <v>3</v>
      </c>
      <c r="B24" s="74">
        <v>10</v>
      </c>
      <c r="C24" s="68" t="s">
        <v>11</v>
      </c>
      <c r="D24" s="68" t="s">
        <v>83</v>
      </c>
      <c r="E24" s="68" t="s">
        <v>12</v>
      </c>
      <c r="F24" s="69">
        <v>900</v>
      </c>
      <c r="G24" s="67" t="s">
        <v>53</v>
      </c>
      <c r="H24" s="70">
        <f t="shared" si="6"/>
        <v>24770</v>
      </c>
      <c r="I24" s="71">
        <f t="shared" si="3"/>
        <v>0.64666666666666661</v>
      </c>
      <c r="J24" s="64">
        <f t="shared" si="11"/>
        <v>9700</v>
      </c>
      <c r="K24" s="84">
        <f t="shared" si="7"/>
        <v>24700</v>
      </c>
      <c r="L24" s="83">
        <v>41281</v>
      </c>
      <c r="M24" s="89">
        <f t="shared" si="4"/>
        <v>-70</v>
      </c>
      <c r="N24" s="90">
        <f t="shared" si="5"/>
        <v>0.60003391390712435</v>
      </c>
      <c r="O24" s="91">
        <v>15000</v>
      </c>
      <c r="P24" s="88">
        <f t="shared" si="8"/>
        <v>37152900</v>
      </c>
      <c r="Q24" s="80">
        <f t="shared" si="9"/>
        <v>13500000</v>
      </c>
      <c r="R24" s="80">
        <f t="shared" si="10"/>
        <v>22230000</v>
      </c>
      <c r="S24" s="80"/>
      <c r="T24" s="2"/>
      <c r="U24" s="2"/>
      <c r="V24" s="2"/>
      <c r="W24" s="2"/>
      <c r="X24" s="2"/>
      <c r="Y24" s="2"/>
      <c r="Z24" s="2"/>
      <c r="AA24" s="2"/>
    </row>
    <row r="25" spans="1:27" ht="75">
      <c r="A25" s="75">
        <v>13</v>
      </c>
      <c r="B25" s="74">
        <v>11</v>
      </c>
      <c r="C25" s="68" t="s">
        <v>20</v>
      </c>
      <c r="D25" s="68" t="s">
        <v>84</v>
      </c>
      <c r="E25" s="68" t="s">
        <v>9</v>
      </c>
      <c r="F25" s="69">
        <v>50</v>
      </c>
      <c r="G25" s="67" t="s">
        <v>53</v>
      </c>
      <c r="H25" s="70">
        <f t="shared" si="6"/>
        <v>28700</v>
      </c>
      <c r="I25" s="71">
        <f t="shared" si="3"/>
        <v>0</v>
      </c>
      <c r="J25" s="64">
        <f t="shared" si="11"/>
        <v>0</v>
      </c>
      <c r="K25" s="84">
        <f t="shared" si="7"/>
        <v>30000</v>
      </c>
      <c r="L25" s="83">
        <v>57400</v>
      </c>
      <c r="M25" s="89">
        <f t="shared" si="4"/>
        <v>1300</v>
      </c>
      <c r="N25" s="90">
        <f t="shared" si="5"/>
        <v>0.5</v>
      </c>
      <c r="O25" s="91">
        <v>30000</v>
      </c>
      <c r="P25" s="88">
        <f t="shared" si="8"/>
        <v>2870000</v>
      </c>
      <c r="Q25" s="80">
        <f t="shared" si="9"/>
        <v>1500000</v>
      </c>
      <c r="R25" s="80">
        <f t="shared" si="10"/>
        <v>1500000</v>
      </c>
      <c r="S25" s="80"/>
      <c r="T25" s="2"/>
      <c r="U25" s="2"/>
      <c r="V25" s="2"/>
      <c r="W25" s="2"/>
      <c r="X25" s="2"/>
      <c r="Y25" s="2"/>
      <c r="Z25" s="2"/>
      <c r="AA25" s="2"/>
    </row>
    <row r="26" spans="1:27" ht="75">
      <c r="A26" s="75">
        <v>2</v>
      </c>
      <c r="B26" s="74">
        <v>12</v>
      </c>
      <c r="C26" s="68" t="s">
        <v>19</v>
      </c>
      <c r="D26" s="68" t="s">
        <v>85</v>
      </c>
      <c r="E26" s="68" t="s">
        <v>9</v>
      </c>
      <c r="F26" s="69">
        <v>535</v>
      </c>
      <c r="G26" s="67" t="s">
        <v>53</v>
      </c>
      <c r="H26" s="70">
        <f t="shared" si="6"/>
        <v>26700</v>
      </c>
      <c r="I26" s="71">
        <f t="shared" si="3"/>
        <v>0</v>
      </c>
      <c r="J26" s="64">
        <f t="shared" si="11"/>
        <v>0</v>
      </c>
      <c r="K26" s="84">
        <f t="shared" si="7"/>
        <v>30000</v>
      </c>
      <c r="L26" s="83">
        <v>59333</v>
      </c>
      <c r="M26" s="89">
        <f t="shared" si="4"/>
        <v>3300</v>
      </c>
      <c r="N26" s="90">
        <f t="shared" si="5"/>
        <v>0.45000252810409047</v>
      </c>
      <c r="O26" s="91">
        <v>30000</v>
      </c>
      <c r="P26" s="88">
        <f t="shared" si="8"/>
        <v>31743155</v>
      </c>
      <c r="Q26" s="80">
        <f t="shared" si="9"/>
        <v>16050000</v>
      </c>
      <c r="R26" s="80">
        <f t="shared" si="10"/>
        <v>16050000</v>
      </c>
      <c r="S26" s="80"/>
      <c r="T26" s="2"/>
      <c r="U26" s="2"/>
      <c r="V26" s="2"/>
      <c r="W26" s="2"/>
      <c r="X26" s="2"/>
      <c r="Y26" s="2"/>
      <c r="Z26" s="2"/>
      <c r="AA26" s="2"/>
    </row>
    <row r="27" spans="1:27" ht="75">
      <c r="A27" s="75">
        <v>3</v>
      </c>
      <c r="B27" s="74">
        <v>13</v>
      </c>
      <c r="C27" s="68" t="s">
        <v>86</v>
      </c>
      <c r="D27" s="68" t="s">
        <v>87</v>
      </c>
      <c r="E27" s="68" t="s">
        <v>9</v>
      </c>
      <c r="F27" s="69">
        <v>535</v>
      </c>
      <c r="G27" s="67" t="s">
        <v>53</v>
      </c>
      <c r="H27" s="70">
        <f t="shared" si="6"/>
        <v>147290</v>
      </c>
      <c r="I27" s="71">
        <f t="shared" si="3"/>
        <v>5.1428571428571428E-2</v>
      </c>
      <c r="J27" s="64">
        <f t="shared" si="11"/>
        <v>7200</v>
      </c>
      <c r="K27" s="84">
        <f t="shared" si="7"/>
        <v>147200</v>
      </c>
      <c r="L27" s="83">
        <v>245479</v>
      </c>
      <c r="M27" s="89">
        <f t="shared" si="4"/>
        <v>-90</v>
      </c>
      <c r="N27" s="90">
        <f t="shared" si="5"/>
        <v>0.60001059153736169</v>
      </c>
      <c r="O27" s="91">
        <v>140000</v>
      </c>
      <c r="P27" s="88">
        <f t="shared" si="8"/>
        <v>131331265</v>
      </c>
      <c r="Q27" s="80">
        <f t="shared" si="9"/>
        <v>74900000</v>
      </c>
      <c r="R27" s="80">
        <f t="shared" si="10"/>
        <v>78752000</v>
      </c>
      <c r="S27" s="80"/>
      <c r="T27" s="2"/>
      <c r="U27" s="2"/>
      <c r="V27" s="2"/>
      <c r="W27" s="2"/>
      <c r="X27" s="2"/>
      <c r="Y27" s="2"/>
      <c r="Z27" s="2"/>
      <c r="AA27" s="2"/>
    </row>
    <row r="28" spans="1:27" ht="75">
      <c r="A28" s="75">
        <v>13</v>
      </c>
      <c r="B28" s="74">
        <v>14</v>
      </c>
      <c r="C28" s="68" t="s">
        <v>19</v>
      </c>
      <c r="D28" s="68" t="s">
        <v>88</v>
      </c>
      <c r="E28" s="68" t="s">
        <v>9</v>
      </c>
      <c r="F28" s="69">
        <v>535</v>
      </c>
      <c r="G28" s="67" t="s">
        <v>53</v>
      </c>
      <c r="H28" s="70">
        <f t="shared" si="6"/>
        <v>51370</v>
      </c>
      <c r="I28" s="71">
        <f t="shared" si="3"/>
        <v>0</v>
      </c>
      <c r="J28" s="64">
        <f t="shared" si="11"/>
        <v>0</v>
      </c>
      <c r="K28" s="84">
        <f t="shared" si="7"/>
        <v>75000</v>
      </c>
      <c r="L28" s="83">
        <v>102733</v>
      </c>
      <c r="M28" s="89">
        <f t="shared" si="4"/>
        <v>23630</v>
      </c>
      <c r="N28" s="90">
        <f t="shared" si="5"/>
        <v>0.50003406889704383</v>
      </c>
      <c r="O28" s="91">
        <v>75000</v>
      </c>
      <c r="P28" s="88">
        <f t="shared" si="8"/>
        <v>54962155</v>
      </c>
      <c r="Q28" s="80">
        <f t="shared" si="9"/>
        <v>40125000</v>
      </c>
      <c r="R28" s="80">
        <f t="shared" si="10"/>
        <v>40125000</v>
      </c>
      <c r="S28" s="80"/>
      <c r="T28" s="2"/>
      <c r="U28" s="2"/>
      <c r="V28" s="2"/>
      <c r="W28" s="2"/>
      <c r="X28" s="2"/>
      <c r="Y28" s="2"/>
      <c r="Z28" s="2"/>
      <c r="AA28" s="2"/>
    </row>
    <row r="29" spans="1:27" ht="75">
      <c r="A29" s="75">
        <v>11</v>
      </c>
      <c r="B29" s="74">
        <v>15</v>
      </c>
      <c r="C29" s="68" t="s">
        <v>89</v>
      </c>
      <c r="D29" s="68" t="s">
        <v>90</v>
      </c>
      <c r="E29" s="68" t="s">
        <v>9</v>
      </c>
      <c r="F29" s="69">
        <v>270</v>
      </c>
      <c r="G29" s="67" t="s">
        <v>53</v>
      </c>
      <c r="H29" s="70">
        <f t="shared" si="6"/>
        <v>11100</v>
      </c>
      <c r="I29" s="71">
        <f t="shared" si="3"/>
        <v>0</v>
      </c>
      <c r="J29" s="64">
        <f t="shared" si="11"/>
        <v>0</v>
      </c>
      <c r="K29" s="84">
        <f t="shared" si="7"/>
        <v>18000</v>
      </c>
      <c r="L29" s="83">
        <v>37000</v>
      </c>
      <c r="M29" s="89">
        <f t="shared" si="4"/>
        <v>6900</v>
      </c>
      <c r="N29" s="90">
        <f t="shared" si="5"/>
        <v>0.3</v>
      </c>
      <c r="O29" s="91">
        <v>18000</v>
      </c>
      <c r="P29" s="88">
        <f t="shared" si="8"/>
        <v>9990000</v>
      </c>
      <c r="Q29" s="80">
        <f t="shared" si="9"/>
        <v>4860000</v>
      </c>
      <c r="R29" s="80">
        <f t="shared" si="10"/>
        <v>4860000</v>
      </c>
      <c r="S29" s="80"/>
      <c r="T29" s="2"/>
      <c r="U29" s="2"/>
      <c r="V29" s="2"/>
      <c r="W29" s="2"/>
      <c r="X29" s="2"/>
      <c r="Y29" s="2"/>
      <c r="Z29" s="2"/>
      <c r="AA29" s="2"/>
    </row>
    <row r="30" spans="1:27" ht="75">
      <c r="A30" s="75">
        <v>2</v>
      </c>
      <c r="B30" s="74">
        <v>16</v>
      </c>
      <c r="C30" s="68" t="s">
        <v>78</v>
      </c>
      <c r="D30" s="68" t="s">
        <v>91</v>
      </c>
      <c r="E30" s="68" t="s">
        <v>12</v>
      </c>
      <c r="F30" s="69">
        <v>300</v>
      </c>
      <c r="G30" s="67" t="s">
        <v>53</v>
      </c>
      <c r="H30" s="70">
        <f t="shared" si="6"/>
        <v>4670</v>
      </c>
      <c r="I30" s="71">
        <f t="shared" si="3"/>
        <v>-0.31333333333333335</v>
      </c>
      <c r="J30" s="64">
        <f t="shared" si="11"/>
        <v>-4700</v>
      </c>
      <c r="K30" s="84">
        <f t="shared" si="7"/>
        <v>10300</v>
      </c>
      <c r="L30" s="83">
        <v>10360</v>
      </c>
      <c r="M30" s="89">
        <f t="shared" si="4"/>
        <v>5630</v>
      </c>
      <c r="N30" s="90">
        <f t="shared" si="5"/>
        <v>0.45077220077220076</v>
      </c>
      <c r="O30" s="91">
        <v>15000</v>
      </c>
      <c r="P30" s="88">
        <f t="shared" si="8"/>
        <v>3108000</v>
      </c>
      <c r="Q30" s="80">
        <f t="shared" si="9"/>
        <v>4500000</v>
      </c>
      <c r="R30" s="80">
        <f t="shared" si="10"/>
        <v>3090000</v>
      </c>
      <c r="S30" s="80"/>
      <c r="T30" s="2"/>
      <c r="U30" s="2"/>
      <c r="V30" s="2"/>
      <c r="W30" s="2"/>
      <c r="X30" s="2"/>
      <c r="Y30" s="2"/>
      <c r="Z30" s="2"/>
      <c r="AA30" s="2"/>
    </row>
    <row r="31" spans="1:27" ht="75">
      <c r="A31" s="75">
        <v>3</v>
      </c>
      <c r="B31" s="74">
        <v>17</v>
      </c>
      <c r="C31" s="68" t="s">
        <v>17</v>
      </c>
      <c r="D31" s="68" t="s">
        <v>80</v>
      </c>
      <c r="E31" s="68" t="s">
        <v>12</v>
      </c>
      <c r="F31" s="69">
        <v>300</v>
      </c>
      <c r="G31" s="67" t="s">
        <v>53</v>
      </c>
      <c r="H31" s="70">
        <f t="shared" si="6"/>
        <v>15900</v>
      </c>
      <c r="I31" s="71">
        <f t="shared" si="3"/>
        <v>0.32745825602968465</v>
      </c>
      <c r="J31" s="64">
        <f t="shared" si="11"/>
        <v>3922.2222222222226</v>
      </c>
      <c r="K31" s="84">
        <f t="shared" si="7"/>
        <v>15900</v>
      </c>
      <c r="L31" s="83">
        <v>26491</v>
      </c>
      <c r="M31" s="89">
        <f t="shared" si="4"/>
        <v>0</v>
      </c>
      <c r="N31" s="90">
        <f t="shared" si="5"/>
        <v>0.60020384281454076</v>
      </c>
      <c r="O31" s="91">
        <f>+((65000/50)*2)+(80000*0.02)+((40000/3.6)*0.25)+((25000/20)*4)</f>
        <v>11977.777777777777</v>
      </c>
      <c r="P31" s="88">
        <f t="shared" si="8"/>
        <v>7947300</v>
      </c>
      <c r="Q31" s="80">
        <f t="shared" si="9"/>
        <v>3593333.333333333</v>
      </c>
      <c r="R31" s="80">
        <f t="shared" si="10"/>
        <v>4770000</v>
      </c>
      <c r="S31" s="80"/>
      <c r="T31" s="2"/>
      <c r="U31" s="2"/>
      <c r="V31" s="2"/>
      <c r="W31" s="2"/>
      <c r="X31" s="2"/>
      <c r="Y31" s="2"/>
      <c r="Z31" s="2"/>
      <c r="AA31" s="2"/>
    </row>
    <row r="32" spans="1:27" ht="75">
      <c r="A32" s="75">
        <v>4</v>
      </c>
      <c r="B32" s="74">
        <v>18</v>
      </c>
      <c r="C32" s="68" t="s">
        <v>19</v>
      </c>
      <c r="D32" s="68" t="s">
        <v>81</v>
      </c>
      <c r="E32" s="68" t="s">
        <v>12</v>
      </c>
      <c r="F32" s="69">
        <v>300</v>
      </c>
      <c r="G32" s="67" t="s">
        <v>53</v>
      </c>
      <c r="H32" s="70">
        <f t="shared" si="6"/>
        <v>28150</v>
      </c>
      <c r="I32" s="71">
        <f t="shared" si="3"/>
        <v>3.5714285714285713E-3</v>
      </c>
      <c r="J32" s="64">
        <f t="shared" si="11"/>
        <v>100</v>
      </c>
      <c r="K32" s="84">
        <f t="shared" si="7"/>
        <v>28100</v>
      </c>
      <c r="L32" s="83">
        <v>33114</v>
      </c>
      <c r="M32" s="89">
        <f t="shared" si="4"/>
        <v>-50</v>
      </c>
      <c r="N32" s="90">
        <f t="shared" si="5"/>
        <v>0.85009361599323552</v>
      </c>
      <c r="O32" s="91">
        <v>28000</v>
      </c>
      <c r="P32" s="88">
        <f t="shared" si="8"/>
        <v>9934200</v>
      </c>
      <c r="Q32" s="80">
        <f t="shared" si="9"/>
        <v>8400000</v>
      </c>
      <c r="R32" s="80">
        <f t="shared" si="10"/>
        <v>8430000</v>
      </c>
      <c r="S32" s="80"/>
      <c r="T32" s="2"/>
      <c r="U32" s="2"/>
      <c r="V32" s="2"/>
      <c r="W32" s="2"/>
      <c r="X32" s="2"/>
      <c r="Y32" s="2"/>
      <c r="Z32" s="2"/>
      <c r="AA32" s="2"/>
    </row>
    <row r="33" spans="1:27" ht="75">
      <c r="A33" s="75">
        <v>3</v>
      </c>
      <c r="B33" s="74">
        <v>19</v>
      </c>
      <c r="C33" s="68" t="s">
        <v>18</v>
      </c>
      <c r="D33" s="68" t="s">
        <v>82</v>
      </c>
      <c r="E33" s="68" t="s">
        <v>12</v>
      </c>
      <c r="F33" s="69">
        <v>400</v>
      </c>
      <c r="G33" s="67" t="s">
        <v>53</v>
      </c>
      <c r="H33" s="70">
        <f t="shared" si="6"/>
        <v>15330</v>
      </c>
      <c r="I33" s="71">
        <f t="shared" si="3"/>
        <v>0.22387761223877611</v>
      </c>
      <c r="J33" s="64">
        <f t="shared" si="11"/>
        <v>2798.75</v>
      </c>
      <c r="K33" s="84">
        <f t="shared" si="7"/>
        <v>15300</v>
      </c>
      <c r="L33" s="83">
        <v>25539</v>
      </c>
      <c r="M33" s="89">
        <f t="shared" si="4"/>
        <v>-30</v>
      </c>
      <c r="N33" s="90">
        <f t="shared" si="5"/>
        <v>0.60025842828615061</v>
      </c>
      <c r="O33" s="91">
        <f>+((455000/16)*0.3)+((34000/15)*1.2)+(5000*0.25)</f>
        <v>12501.25</v>
      </c>
      <c r="P33" s="88">
        <f t="shared" si="8"/>
        <v>10215600</v>
      </c>
      <c r="Q33" s="80">
        <f t="shared" si="9"/>
        <v>5000500</v>
      </c>
      <c r="R33" s="80">
        <f t="shared" si="10"/>
        <v>6120000</v>
      </c>
      <c r="S33" s="80"/>
      <c r="T33" s="2"/>
      <c r="U33" s="2"/>
      <c r="V33" s="2"/>
      <c r="W33" s="2"/>
      <c r="X33" s="2"/>
      <c r="Y33" s="2"/>
      <c r="Z33" s="2"/>
      <c r="AA33" s="2"/>
    </row>
    <row r="34" spans="1:27" ht="75">
      <c r="A34" s="75">
        <v>13</v>
      </c>
      <c r="B34" s="74">
        <v>20</v>
      </c>
      <c r="C34" s="68" t="s">
        <v>19</v>
      </c>
      <c r="D34" s="68" t="s">
        <v>83</v>
      </c>
      <c r="E34" s="68" t="s">
        <v>12</v>
      </c>
      <c r="F34" s="69">
        <v>400</v>
      </c>
      <c r="G34" s="67" t="s">
        <v>53</v>
      </c>
      <c r="H34" s="70">
        <f t="shared" si="6"/>
        <v>20650</v>
      </c>
      <c r="I34" s="71">
        <f t="shared" si="3"/>
        <v>0.37333333333333335</v>
      </c>
      <c r="J34" s="64">
        <f t="shared" si="11"/>
        <v>5600</v>
      </c>
      <c r="K34" s="84">
        <f t="shared" si="7"/>
        <v>20600</v>
      </c>
      <c r="L34" s="83">
        <v>41281</v>
      </c>
      <c r="M34" s="89">
        <f t="shared" si="4"/>
        <v>-50</v>
      </c>
      <c r="N34" s="90">
        <f t="shared" si="5"/>
        <v>0.50023013008405803</v>
      </c>
      <c r="O34" s="91">
        <v>15000</v>
      </c>
      <c r="P34" s="88">
        <f t="shared" si="8"/>
        <v>16512400</v>
      </c>
      <c r="Q34" s="80">
        <f t="shared" si="9"/>
        <v>6000000</v>
      </c>
      <c r="R34" s="80">
        <f t="shared" si="10"/>
        <v>8240000</v>
      </c>
      <c r="S34" s="80"/>
      <c r="T34" s="2"/>
      <c r="U34" s="2"/>
      <c r="V34" s="2"/>
      <c r="W34" s="2"/>
      <c r="X34" s="2"/>
      <c r="Y34" s="2"/>
      <c r="Z34" s="2"/>
      <c r="AA34" s="2"/>
    </row>
    <row r="35" spans="1:27" ht="75">
      <c r="A35" s="75">
        <v>1</v>
      </c>
      <c r="B35" s="74">
        <v>21</v>
      </c>
      <c r="C35" s="68" t="s">
        <v>18</v>
      </c>
      <c r="D35" s="68" t="s">
        <v>92</v>
      </c>
      <c r="E35" s="68" t="s">
        <v>12</v>
      </c>
      <c r="F35" s="69">
        <v>2000</v>
      </c>
      <c r="G35" s="67" t="s">
        <v>53</v>
      </c>
      <c r="H35" s="70">
        <f t="shared" si="6"/>
        <v>20440</v>
      </c>
      <c r="I35" s="71">
        <f t="shared" si="3"/>
        <v>0.10824392231427407</v>
      </c>
      <c r="J35" s="64">
        <f t="shared" si="11"/>
        <v>1992.5</v>
      </c>
      <c r="K35" s="84">
        <f t="shared" si="7"/>
        <v>20400</v>
      </c>
      <c r="L35" s="83">
        <v>25539</v>
      </c>
      <c r="M35" s="89">
        <f t="shared" si="4"/>
        <v>-40</v>
      </c>
      <c r="N35" s="90">
        <f t="shared" si="5"/>
        <v>0.80034457104820078</v>
      </c>
      <c r="O35" s="91">
        <f>+((770000/16)*0.3)+((34000/15)*1.2)+(5000*0.25)</f>
        <v>18407.5</v>
      </c>
      <c r="P35" s="88">
        <f t="shared" si="8"/>
        <v>51078000</v>
      </c>
      <c r="Q35" s="80">
        <f t="shared" si="9"/>
        <v>36815000</v>
      </c>
      <c r="R35" s="80">
        <f t="shared" si="10"/>
        <v>40800000</v>
      </c>
      <c r="S35" s="80"/>
      <c r="T35" s="2"/>
      <c r="U35" s="2"/>
      <c r="V35" s="2"/>
      <c r="W35" s="2"/>
      <c r="X35" s="2"/>
      <c r="Y35" s="2"/>
      <c r="Z35" s="2"/>
      <c r="AA35" s="2"/>
    </row>
    <row r="36" spans="1:27" ht="75">
      <c r="A36" s="75">
        <v>3</v>
      </c>
      <c r="B36" s="74">
        <v>22</v>
      </c>
      <c r="C36" s="68" t="s">
        <v>19</v>
      </c>
      <c r="D36" s="68" t="s">
        <v>93</v>
      </c>
      <c r="E36" s="68" t="s">
        <v>12</v>
      </c>
      <c r="F36" s="69">
        <v>2000</v>
      </c>
      <c r="G36" s="67" t="s">
        <v>53</v>
      </c>
      <c r="H36" s="70">
        <f t="shared" si="6"/>
        <v>19850</v>
      </c>
      <c r="I36" s="71">
        <f t="shared" si="3"/>
        <v>0.32</v>
      </c>
      <c r="J36" s="64">
        <f t="shared" si="11"/>
        <v>4800</v>
      </c>
      <c r="K36" s="84">
        <f t="shared" si="7"/>
        <v>19800</v>
      </c>
      <c r="L36" s="83">
        <v>33075</v>
      </c>
      <c r="M36" s="89">
        <f t="shared" si="4"/>
        <v>-50</v>
      </c>
      <c r="N36" s="90">
        <f t="shared" si="5"/>
        <v>0.60015117157974296</v>
      </c>
      <c r="O36" s="91">
        <v>15000</v>
      </c>
      <c r="P36" s="88">
        <f t="shared" si="8"/>
        <v>66150000</v>
      </c>
      <c r="Q36" s="80">
        <f t="shared" si="9"/>
        <v>30000000</v>
      </c>
      <c r="R36" s="80">
        <f t="shared" si="10"/>
        <v>39600000</v>
      </c>
      <c r="S36" s="80"/>
      <c r="T36" s="2"/>
      <c r="U36" s="2"/>
      <c r="V36" s="2"/>
      <c r="W36" s="2"/>
      <c r="X36" s="2"/>
      <c r="Y36" s="2"/>
      <c r="Z36" s="2"/>
      <c r="AA36" s="2"/>
    </row>
    <row r="37" spans="1:27" ht="75">
      <c r="A37" s="75">
        <v>4</v>
      </c>
      <c r="B37" s="74">
        <v>23</v>
      </c>
      <c r="C37" s="68" t="s">
        <v>18</v>
      </c>
      <c r="D37" s="68" t="s">
        <v>94</v>
      </c>
      <c r="E37" s="68" t="s">
        <v>12</v>
      </c>
      <c r="F37" s="69">
        <v>300</v>
      </c>
      <c r="G37" s="67" t="s">
        <v>53</v>
      </c>
      <c r="H37" s="70">
        <f t="shared" si="6"/>
        <v>96480</v>
      </c>
      <c r="I37" s="71">
        <f t="shared" si="3"/>
        <v>0.20332871012482664</v>
      </c>
      <c r="J37" s="64">
        <f t="shared" si="11"/>
        <v>16288.888888888891</v>
      </c>
      <c r="K37" s="84">
        <f t="shared" si="7"/>
        <v>96400</v>
      </c>
      <c r="L37" s="83">
        <v>113500</v>
      </c>
      <c r="M37" s="89">
        <f t="shared" si="4"/>
        <v>-80</v>
      </c>
      <c r="N37" s="90">
        <f t="shared" si="5"/>
        <v>0.85004405286343609</v>
      </c>
      <c r="O37" s="91">
        <f>+((380000/3.6)*0.2*2)+((160000/3.6)*0.1*2)+28000+((6*50000)/300)</f>
        <v>80111.111111111109</v>
      </c>
      <c r="P37" s="88">
        <f t="shared" si="8"/>
        <v>34050000</v>
      </c>
      <c r="Q37" s="80">
        <f t="shared" si="9"/>
        <v>24033333.333333332</v>
      </c>
      <c r="R37" s="80">
        <f t="shared" si="10"/>
        <v>28920000</v>
      </c>
      <c r="S37" s="80"/>
      <c r="T37" s="2"/>
      <c r="U37" s="2"/>
      <c r="V37" s="2"/>
      <c r="W37" s="2"/>
      <c r="X37" s="2"/>
      <c r="Y37" s="2"/>
      <c r="Z37" s="2"/>
      <c r="AA37" s="2"/>
    </row>
    <row r="38" spans="1:27" ht="75">
      <c r="A38" s="75">
        <v>11</v>
      </c>
      <c r="B38" s="74">
        <v>24</v>
      </c>
      <c r="C38" s="68" t="s">
        <v>95</v>
      </c>
      <c r="D38" s="68" t="s">
        <v>96</v>
      </c>
      <c r="E38" s="68" t="s">
        <v>9</v>
      </c>
      <c r="F38" s="69">
        <v>500</v>
      </c>
      <c r="G38" s="67" t="s">
        <v>53</v>
      </c>
      <c r="H38" s="70">
        <f t="shared" si="6"/>
        <v>87760</v>
      </c>
      <c r="I38" s="71">
        <f t="shared" si="3"/>
        <v>5.2400000000000065E-2</v>
      </c>
      <c r="J38" s="64">
        <f t="shared" si="11"/>
        <v>4366.6666666666715</v>
      </c>
      <c r="K38" s="84">
        <f t="shared" si="7"/>
        <v>87700</v>
      </c>
      <c r="L38" s="83">
        <v>292530</v>
      </c>
      <c r="M38" s="89">
        <f t="shared" si="4"/>
        <v>-60</v>
      </c>
      <c r="N38" s="90">
        <f t="shared" si="5"/>
        <v>0.30000341845280826</v>
      </c>
      <c r="O38" s="91">
        <f>250000/3</f>
        <v>83333.333333333328</v>
      </c>
      <c r="P38" s="88">
        <f t="shared" si="8"/>
        <v>146265000</v>
      </c>
      <c r="Q38" s="80">
        <f t="shared" si="9"/>
        <v>41666666.666666664</v>
      </c>
      <c r="R38" s="80">
        <f t="shared" si="10"/>
        <v>43850000</v>
      </c>
      <c r="S38" s="80"/>
      <c r="T38" s="2"/>
      <c r="U38" s="2"/>
      <c r="V38" s="2"/>
      <c r="W38" s="2"/>
      <c r="X38" s="2"/>
      <c r="Y38" s="2"/>
      <c r="Z38" s="2"/>
      <c r="AA38" s="2"/>
    </row>
    <row r="39" spans="1:27" ht="75">
      <c r="A39" s="75">
        <v>13</v>
      </c>
      <c r="B39" s="74">
        <v>25</v>
      </c>
      <c r="C39" s="68" t="s">
        <v>95</v>
      </c>
      <c r="D39" s="68" t="s">
        <v>97</v>
      </c>
      <c r="E39" s="68" t="s">
        <v>9</v>
      </c>
      <c r="F39" s="69">
        <v>500</v>
      </c>
      <c r="G39" s="67" t="s">
        <v>53</v>
      </c>
      <c r="H39" s="70">
        <f t="shared" si="6"/>
        <v>116550</v>
      </c>
      <c r="I39" s="71">
        <f t="shared" si="3"/>
        <v>0.39800559202236807</v>
      </c>
      <c r="J39" s="64">
        <f t="shared" si="11"/>
        <v>33167</v>
      </c>
      <c r="K39" s="84">
        <f t="shared" si="7"/>
        <v>116500</v>
      </c>
      <c r="L39" s="83">
        <v>233100</v>
      </c>
      <c r="M39" s="89">
        <f t="shared" si="4"/>
        <v>-50</v>
      </c>
      <c r="N39" s="90">
        <f t="shared" si="5"/>
        <v>0.5</v>
      </c>
      <c r="O39" s="91">
        <v>83333</v>
      </c>
      <c r="P39" s="88">
        <f t="shared" si="8"/>
        <v>116550000</v>
      </c>
      <c r="Q39" s="80">
        <f t="shared" si="9"/>
        <v>41666500</v>
      </c>
      <c r="R39" s="80">
        <f t="shared" si="10"/>
        <v>58250000</v>
      </c>
      <c r="S39" s="80"/>
      <c r="T39" s="2"/>
      <c r="U39" s="2"/>
      <c r="V39" s="2"/>
      <c r="W39" s="2"/>
      <c r="X39" s="2"/>
      <c r="Y39" s="2"/>
      <c r="Z39" s="2"/>
      <c r="AA39" s="2"/>
    </row>
    <row r="40" spans="1:27" ht="75">
      <c r="A40" s="75">
        <v>1</v>
      </c>
      <c r="B40" s="74">
        <v>26</v>
      </c>
      <c r="C40" s="68" t="s">
        <v>95</v>
      </c>
      <c r="D40" s="68" t="s">
        <v>98</v>
      </c>
      <c r="E40" s="68" t="s">
        <v>9</v>
      </c>
      <c r="F40" s="69">
        <v>200</v>
      </c>
      <c r="G40" s="67" t="s">
        <v>53</v>
      </c>
      <c r="H40" s="70">
        <f t="shared" si="6"/>
        <v>20610</v>
      </c>
      <c r="I40" s="71">
        <f t="shared" si="3"/>
        <v>0.28749999999999998</v>
      </c>
      <c r="J40" s="64">
        <f t="shared" si="11"/>
        <v>4600</v>
      </c>
      <c r="K40" s="84">
        <f t="shared" si="7"/>
        <v>20600</v>
      </c>
      <c r="L40" s="83">
        <v>25761</v>
      </c>
      <c r="M40" s="89">
        <f t="shared" si="4"/>
        <v>-10</v>
      </c>
      <c r="N40" s="90">
        <f t="shared" si="5"/>
        <v>0.80004658204262258</v>
      </c>
      <c r="O40" s="91">
        <f>16000</f>
        <v>16000</v>
      </c>
      <c r="P40" s="88">
        <f t="shared" si="8"/>
        <v>5152200</v>
      </c>
      <c r="Q40" s="80">
        <f t="shared" si="9"/>
        <v>3200000</v>
      </c>
      <c r="R40" s="80">
        <f t="shared" si="10"/>
        <v>4120000</v>
      </c>
      <c r="S40" s="80"/>
      <c r="T40" s="2"/>
      <c r="U40" s="2"/>
      <c r="V40" s="2"/>
      <c r="W40" s="2"/>
      <c r="X40" s="2"/>
      <c r="Y40" s="2"/>
      <c r="Z40" s="2"/>
      <c r="AA40" s="2"/>
    </row>
    <row r="41" spans="1:27" ht="60">
      <c r="A41" s="75">
        <v>1</v>
      </c>
      <c r="B41" s="74">
        <v>27</v>
      </c>
      <c r="C41" s="68" t="s">
        <v>95</v>
      </c>
      <c r="D41" s="68" t="s">
        <v>99</v>
      </c>
      <c r="E41" s="68" t="s">
        <v>15</v>
      </c>
      <c r="F41" s="69">
        <v>44</v>
      </c>
      <c r="G41" s="67" t="s">
        <v>53</v>
      </c>
      <c r="H41" s="70">
        <f t="shared" si="6"/>
        <v>41220</v>
      </c>
      <c r="I41" s="71">
        <f t="shared" si="3"/>
        <v>1.0497512437810945</v>
      </c>
      <c r="J41" s="64">
        <f t="shared" si="11"/>
        <v>21100</v>
      </c>
      <c r="K41" s="84">
        <f t="shared" si="7"/>
        <v>41200</v>
      </c>
      <c r="L41" s="83">
        <v>51522</v>
      </c>
      <c r="M41" s="89">
        <f t="shared" si="4"/>
        <v>-20</v>
      </c>
      <c r="N41" s="90">
        <f t="shared" si="5"/>
        <v>0.80004658204262258</v>
      </c>
      <c r="O41" s="91">
        <f>11000+9100</f>
        <v>20100</v>
      </c>
      <c r="P41" s="88">
        <f t="shared" si="8"/>
        <v>2266968</v>
      </c>
      <c r="Q41" s="80">
        <f t="shared" si="9"/>
        <v>884400</v>
      </c>
      <c r="R41" s="80">
        <f t="shared" si="10"/>
        <v>1812800</v>
      </c>
      <c r="S41" s="80"/>
      <c r="T41" s="2"/>
      <c r="U41" s="2"/>
      <c r="V41" s="2"/>
      <c r="W41" s="2"/>
      <c r="X41" s="2"/>
      <c r="Y41" s="2"/>
      <c r="Z41" s="2"/>
      <c r="AA41" s="2"/>
    </row>
    <row r="42" spans="1:27" ht="60">
      <c r="A42" s="75">
        <v>1</v>
      </c>
      <c r="B42" s="74">
        <v>28</v>
      </c>
      <c r="C42" s="68" t="s">
        <v>95</v>
      </c>
      <c r="D42" s="68" t="s">
        <v>100</v>
      </c>
      <c r="E42" s="68" t="s">
        <v>15</v>
      </c>
      <c r="F42" s="69">
        <v>44</v>
      </c>
      <c r="G42" s="67" t="s">
        <v>53</v>
      </c>
      <c r="H42" s="70">
        <f t="shared" si="6"/>
        <v>41220</v>
      </c>
      <c r="I42" s="71">
        <f t="shared" si="3"/>
        <v>0.15730337078651685</v>
      </c>
      <c r="J42" s="64">
        <f t="shared" si="11"/>
        <v>5600</v>
      </c>
      <c r="K42" s="84">
        <f t="shared" si="7"/>
        <v>41200</v>
      </c>
      <c r="L42" s="83">
        <v>51522</v>
      </c>
      <c r="M42" s="89">
        <f t="shared" si="4"/>
        <v>-20</v>
      </c>
      <c r="N42" s="90">
        <f t="shared" si="5"/>
        <v>0.80004658204262258</v>
      </c>
      <c r="O42" s="91">
        <f>26500+9100</f>
        <v>35600</v>
      </c>
      <c r="P42" s="88">
        <f t="shared" si="8"/>
        <v>2266968</v>
      </c>
      <c r="Q42" s="80">
        <f t="shared" si="9"/>
        <v>1566400</v>
      </c>
      <c r="R42" s="80">
        <f t="shared" si="10"/>
        <v>1812800</v>
      </c>
      <c r="S42" s="80"/>
      <c r="T42" s="2"/>
      <c r="U42" s="2"/>
      <c r="V42" s="2"/>
      <c r="W42" s="2"/>
      <c r="X42" s="2"/>
      <c r="Y42" s="2"/>
      <c r="Z42" s="2"/>
      <c r="AA42" s="2"/>
    </row>
    <row r="43" spans="1:27" ht="60">
      <c r="A43" s="75">
        <v>1</v>
      </c>
      <c r="B43" s="74">
        <v>29</v>
      </c>
      <c r="C43" s="68" t="s">
        <v>19</v>
      </c>
      <c r="D43" s="68" t="s">
        <v>101</v>
      </c>
      <c r="E43" s="68" t="s">
        <v>15</v>
      </c>
      <c r="F43" s="69">
        <v>90</v>
      </c>
      <c r="G43" s="67" t="s">
        <v>53</v>
      </c>
      <c r="H43" s="70">
        <f t="shared" si="6"/>
        <v>92440</v>
      </c>
      <c r="I43" s="71">
        <f t="shared" si="3"/>
        <v>-0.37777777777777777</v>
      </c>
      <c r="J43" s="64">
        <f t="shared" si="11"/>
        <v>-56100</v>
      </c>
      <c r="K43" s="84">
        <f t="shared" si="7"/>
        <v>92400</v>
      </c>
      <c r="L43" s="83">
        <v>115548</v>
      </c>
      <c r="M43" s="89">
        <f t="shared" si="4"/>
        <v>-40</v>
      </c>
      <c r="N43" s="90">
        <f t="shared" si="5"/>
        <v>0.80001384705923084</v>
      </c>
      <c r="O43" s="91">
        <f>(170000+127000)*0.5</f>
        <v>148500</v>
      </c>
      <c r="P43" s="88">
        <f t="shared" si="8"/>
        <v>10399320</v>
      </c>
      <c r="Q43" s="80">
        <f t="shared" si="9"/>
        <v>13365000</v>
      </c>
      <c r="R43" s="80">
        <f t="shared" si="10"/>
        <v>8316000</v>
      </c>
      <c r="S43" s="80"/>
      <c r="T43" s="2"/>
      <c r="U43" s="2"/>
      <c r="V43" s="2"/>
      <c r="W43" s="2"/>
      <c r="X43" s="2"/>
      <c r="Y43" s="2"/>
      <c r="Z43" s="2"/>
      <c r="AA43" s="2"/>
    </row>
    <row r="44" spans="1:27" ht="75">
      <c r="A44" s="75">
        <v>1</v>
      </c>
      <c r="B44" s="74">
        <v>30</v>
      </c>
      <c r="C44" s="68" t="s">
        <v>102</v>
      </c>
      <c r="D44" s="68" t="s">
        <v>103</v>
      </c>
      <c r="E44" s="68" t="s">
        <v>9</v>
      </c>
      <c r="F44" s="69">
        <v>400</v>
      </c>
      <c r="G44" s="67" t="s">
        <v>53</v>
      </c>
      <c r="H44" s="70">
        <f t="shared" si="6"/>
        <v>27070</v>
      </c>
      <c r="I44" s="71">
        <f t="shared" si="3"/>
        <v>0.31306990881458968</v>
      </c>
      <c r="J44" s="64">
        <f t="shared" si="11"/>
        <v>6437.5</v>
      </c>
      <c r="K44" s="84">
        <f t="shared" si="7"/>
        <v>27000</v>
      </c>
      <c r="L44" s="83">
        <v>33833</v>
      </c>
      <c r="M44" s="89">
        <f t="shared" si="4"/>
        <v>-70</v>
      </c>
      <c r="N44" s="90">
        <f t="shared" si="5"/>
        <v>0.80010640498921171</v>
      </c>
      <c r="O44" s="91">
        <f>((170000+127000)*(30/60)/8)+2000</f>
        <v>20562.5</v>
      </c>
      <c r="P44" s="88">
        <f t="shared" si="8"/>
        <v>13533200</v>
      </c>
      <c r="Q44" s="80">
        <f t="shared" si="9"/>
        <v>8225000</v>
      </c>
      <c r="R44" s="80">
        <f t="shared" si="10"/>
        <v>10800000</v>
      </c>
      <c r="S44" s="80"/>
      <c r="T44" s="2"/>
      <c r="U44" s="2"/>
      <c r="V44" s="2"/>
      <c r="W44" s="2"/>
      <c r="X44" s="2"/>
      <c r="Y44" s="2"/>
      <c r="Z44" s="2"/>
      <c r="AA44" s="2"/>
    </row>
    <row r="45" spans="1:27" ht="60">
      <c r="A45" s="75">
        <v>1</v>
      </c>
      <c r="B45" s="74">
        <v>31</v>
      </c>
      <c r="C45" s="68" t="s">
        <v>95</v>
      </c>
      <c r="D45" s="68" t="s">
        <v>104</v>
      </c>
      <c r="E45" s="68" t="s">
        <v>15</v>
      </c>
      <c r="F45" s="69">
        <v>18</v>
      </c>
      <c r="G45" s="67" t="s">
        <v>53</v>
      </c>
      <c r="H45" s="70">
        <f t="shared" si="6"/>
        <v>256560</v>
      </c>
      <c r="I45" s="71">
        <f t="shared" si="3"/>
        <v>1.0372664887533358</v>
      </c>
      <c r="J45" s="64">
        <f t="shared" si="11"/>
        <v>130596</v>
      </c>
      <c r="K45" s="84">
        <f t="shared" si="7"/>
        <v>256500</v>
      </c>
      <c r="L45" s="83">
        <v>320700</v>
      </c>
      <c r="M45" s="89">
        <f t="shared" si="4"/>
        <v>-60</v>
      </c>
      <c r="N45" s="90">
        <f t="shared" si="5"/>
        <v>0.8</v>
      </c>
      <c r="O45" s="91">
        <v>125904</v>
      </c>
      <c r="P45" s="88">
        <f t="shared" si="8"/>
        <v>5772600</v>
      </c>
      <c r="Q45" s="80">
        <f t="shared" si="9"/>
        <v>2266272</v>
      </c>
      <c r="R45" s="80">
        <f t="shared" si="10"/>
        <v>4617000</v>
      </c>
      <c r="S45" s="80"/>
      <c r="T45" s="2"/>
      <c r="U45" s="2"/>
      <c r="V45" s="2"/>
      <c r="W45" s="2"/>
      <c r="X45" s="2"/>
      <c r="Y45" s="2"/>
      <c r="Z45" s="2"/>
      <c r="AA45" s="2"/>
    </row>
    <row r="46" spans="1:27" ht="60">
      <c r="A46" s="75">
        <v>1</v>
      </c>
      <c r="B46" s="74">
        <v>32</v>
      </c>
      <c r="C46" s="68" t="s">
        <v>95</v>
      </c>
      <c r="D46" s="68" t="s">
        <v>105</v>
      </c>
      <c r="E46" s="68" t="s">
        <v>15</v>
      </c>
      <c r="F46" s="69">
        <v>18</v>
      </c>
      <c r="G46" s="67" t="s">
        <v>53</v>
      </c>
      <c r="H46" s="70">
        <f t="shared" si="6"/>
        <v>1170280</v>
      </c>
      <c r="I46" s="71">
        <f t="shared" si="3"/>
        <v>6.5987012987012985</v>
      </c>
      <c r="J46" s="64">
        <f t="shared" si="11"/>
        <v>1016200</v>
      </c>
      <c r="K46" s="84">
        <f t="shared" si="7"/>
        <v>1170200</v>
      </c>
      <c r="L46" s="83">
        <v>1462850</v>
      </c>
      <c r="M46" s="89">
        <f t="shared" si="4"/>
        <v>-80</v>
      </c>
      <c r="N46" s="90">
        <f t="shared" si="5"/>
        <v>0.8</v>
      </c>
      <c r="O46" s="91">
        <v>154000</v>
      </c>
      <c r="P46" s="88">
        <f t="shared" si="8"/>
        <v>26331300</v>
      </c>
      <c r="Q46" s="80">
        <f t="shared" si="9"/>
        <v>2772000</v>
      </c>
      <c r="R46" s="80">
        <f t="shared" si="10"/>
        <v>21063600</v>
      </c>
      <c r="S46" s="80"/>
      <c r="T46" s="2"/>
      <c r="U46" s="2"/>
      <c r="V46" s="2"/>
      <c r="W46" s="2"/>
      <c r="X46" s="2"/>
      <c r="Y46" s="2"/>
      <c r="Z46" s="2"/>
      <c r="AA46" s="2"/>
    </row>
    <row r="47" spans="1:27" ht="75">
      <c r="A47" s="75">
        <v>11</v>
      </c>
      <c r="B47" s="74">
        <v>33</v>
      </c>
      <c r="C47" s="68" t="s">
        <v>106</v>
      </c>
      <c r="D47" s="68" t="s">
        <v>107</v>
      </c>
      <c r="E47" s="68" t="s">
        <v>12</v>
      </c>
      <c r="F47" s="69">
        <v>21</v>
      </c>
      <c r="G47" s="67" t="s">
        <v>53</v>
      </c>
      <c r="H47" s="70">
        <f t="shared" si="6"/>
        <v>147650</v>
      </c>
      <c r="I47" s="71">
        <f t="shared" si="3"/>
        <v>0</v>
      </c>
      <c r="J47" s="64">
        <f t="shared" si="11"/>
        <v>0</v>
      </c>
      <c r="K47" s="84">
        <f t="shared" si="7"/>
        <v>185000</v>
      </c>
      <c r="L47" s="83">
        <v>492150</v>
      </c>
      <c r="M47" s="89">
        <f t="shared" si="4"/>
        <v>37350</v>
      </c>
      <c r="N47" s="90">
        <f t="shared" si="5"/>
        <v>0.30001015950421617</v>
      </c>
      <c r="O47" s="91">
        <v>185000</v>
      </c>
      <c r="P47" s="88">
        <f t="shared" si="8"/>
        <v>10335150</v>
      </c>
      <c r="Q47" s="80">
        <f t="shared" si="9"/>
        <v>3885000</v>
      </c>
      <c r="R47" s="80">
        <f t="shared" si="10"/>
        <v>3885000</v>
      </c>
      <c r="S47" s="80"/>
      <c r="T47" s="2"/>
      <c r="U47" s="2"/>
      <c r="V47" s="2"/>
      <c r="W47" s="2"/>
      <c r="X47" s="2"/>
      <c r="Y47" s="2"/>
      <c r="Z47" s="2"/>
      <c r="AA47" s="2"/>
    </row>
    <row r="48" spans="1:27" ht="75">
      <c r="A48" s="75">
        <v>1</v>
      </c>
      <c r="B48" s="74">
        <v>34</v>
      </c>
      <c r="C48" s="68" t="s">
        <v>106</v>
      </c>
      <c r="D48" s="68" t="s">
        <v>108</v>
      </c>
      <c r="E48" s="68" t="s">
        <v>12</v>
      </c>
      <c r="F48" s="69">
        <v>21</v>
      </c>
      <c r="G48" s="67" t="s">
        <v>53</v>
      </c>
      <c r="H48" s="70">
        <f t="shared" si="6"/>
        <v>64340</v>
      </c>
      <c r="I48" s="71">
        <f t="shared" si="3"/>
        <v>0.42888888888888888</v>
      </c>
      <c r="J48" s="64">
        <f t="shared" si="11"/>
        <v>19300</v>
      </c>
      <c r="K48" s="84">
        <f t="shared" si="7"/>
        <v>64300</v>
      </c>
      <c r="L48" s="83">
        <v>80420</v>
      </c>
      <c r="M48" s="89">
        <f t="shared" si="4"/>
        <v>-40</v>
      </c>
      <c r="N48" s="90">
        <f t="shared" si="5"/>
        <v>0.80004973887092767</v>
      </c>
      <c r="O48" s="91">
        <v>45000</v>
      </c>
      <c r="P48" s="88">
        <f t="shared" si="8"/>
        <v>1688820</v>
      </c>
      <c r="Q48" s="80">
        <f t="shared" si="9"/>
        <v>945000</v>
      </c>
      <c r="R48" s="80">
        <f t="shared" si="10"/>
        <v>1350300</v>
      </c>
      <c r="S48" s="80"/>
      <c r="T48" s="2"/>
      <c r="U48" s="2"/>
      <c r="V48" s="2"/>
      <c r="W48" s="2"/>
      <c r="X48" s="2"/>
      <c r="Y48" s="2"/>
      <c r="Z48" s="2"/>
      <c r="AA48" s="2"/>
    </row>
    <row r="49" spans="1:27" ht="75">
      <c r="A49" s="75">
        <v>11</v>
      </c>
      <c r="B49" s="74">
        <v>35</v>
      </c>
      <c r="C49" s="68" t="s">
        <v>71</v>
      </c>
      <c r="D49" s="68" t="s">
        <v>109</v>
      </c>
      <c r="E49" s="68" t="s">
        <v>12</v>
      </c>
      <c r="F49" s="69">
        <v>2.7</v>
      </c>
      <c r="G49" s="67" t="s">
        <v>53</v>
      </c>
      <c r="H49" s="70">
        <f t="shared" si="6"/>
        <v>6660</v>
      </c>
      <c r="I49" s="71">
        <f t="shared" si="3"/>
        <v>-0.20714285714285716</v>
      </c>
      <c r="J49" s="64">
        <f t="shared" si="11"/>
        <v>-5800</v>
      </c>
      <c r="K49" s="84">
        <f t="shared" si="7"/>
        <v>22200</v>
      </c>
      <c r="L49" s="83">
        <v>22200</v>
      </c>
      <c r="M49" s="89">
        <f t="shared" si="4"/>
        <v>15540</v>
      </c>
      <c r="N49" s="90">
        <f t="shared" si="5"/>
        <v>0.3</v>
      </c>
      <c r="O49" s="91">
        <v>28000</v>
      </c>
      <c r="P49" s="88">
        <f t="shared" si="8"/>
        <v>59940.000000000007</v>
      </c>
      <c r="Q49" s="80">
        <f t="shared" si="9"/>
        <v>75600</v>
      </c>
      <c r="R49" s="80">
        <f t="shared" si="10"/>
        <v>59940.000000000007</v>
      </c>
      <c r="S49" s="80"/>
      <c r="T49" s="2"/>
      <c r="U49" s="2"/>
      <c r="V49" s="2"/>
      <c r="W49" s="2"/>
      <c r="X49" s="2"/>
      <c r="Y49" s="2"/>
      <c r="Z49" s="2"/>
      <c r="AA49" s="2"/>
    </row>
    <row r="50" spans="1:27" ht="75">
      <c r="A50" s="75">
        <v>13</v>
      </c>
      <c r="B50" s="74">
        <v>36</v>
      </c>
      <c r="C50" s="68" t="s">
        <v>110</v>
      </c>
      <c r="D50" s="68" t="s">
        <v>111</v>
      </c>
      <c r="E50" s="68" t="s">
        <v>9</v>
      </c>
      <c r="F50" s="69">
        <v>2.7</v>
      </c>
      <c r="G50" s="67" t="s">
        <v>53</v>
      </c>
      <c r="H50" s="70">
        <f t="shared" si="6"/>
        <v>10880</v>
      </c>
      <c r="I50" s="71">
        <f t="shared" si="3"/>
        <v>1.1599999999999999</v>
      </c>
      <c r="J50" s="64">
        <f t="shared" si="11"/>
        <v>5800</v>
      </c>
      <c r="K50" s="84">
        <f t="shared" si="7"/>
        <v>10800</v>
      </c>
      <c r="L50" s="83">
        <v>21759</v>
      </c>
      <c r="M50" s="89">
        <f t="shared" si="4"/>
        <v>-80</v>
      </c>
      <c r="N50" s="90">
        <f t="shared" si="5"/>
        <v>0.50002297899719661</v>
      </c>
      <c r="O50" s="101">
        <v>5000</v>
      </c>
      <c r="P50" s="88">
        <f t="shared" si="8"/>
        <v>58749.3</v>
      </c>
      <c r="Q50" s="80">
        <f t="shared" si="9"/>
        <v>13500</v>
      </c>
      <c r="R50" s="80">
        <f t="shared" si="10"/>
        <v>29160.000000000004</v>
      </c>
      <c r="S50" s="80"/>
      <c r="T50" s="2"/>
      <c r="U50" s="2"/>
      <c r="V50" s="2"/>
      <c r="W50" s="2"/>
      <c r="X50" s="2"/>
      <c r="Y50" s="2"/>
      <c r="Z50" s="2"/>
      <c r="AA50" s="2"/>
    </row>
    <row r="51" spans="1:27" ht="75">
      <c r="A51" s="75">
        <v>1</v>
      </c>
      <c r="B51" s="74">
        <v>37</v>
      </c>
      <c r="C51" s="68" t="s">
        <v>19</v>
      </c>
      <c r="D51" s="68" t="s">
        <v>112</v>
      </c>
      <c r="E51" s="68" t="s">
        <v>9</v>
      </c>
      <c r="F51" s="69">
        <v>2.7</v>
      </c>
      <c r="G51" s="67" t="s">
        <v>53</v>
      </c>
      <c r="H51" s="70">
        <f t="shared" si="6"/>
        <v>6020</v>
      </c>
      <c r="I51" s="71">
        <f t="shared" si="3"/>
        <v>-0.4</v>
      </c>
      <c r="J51" s="64">
        <f t="shared" si="11"/>
        <v>-4000</v>
      </c>
      <c r="K51" s="84">
        <f t="shared" si="7"/>
        <v>6000</v>
      </c>
      <c r="L51" s="83">
        <v>7525</v>
      </c>
      <c r="M51" s="89">
        <f t="shared" si="4"/>
        <v>-20</v>
      </c>
      <c r="N51" s="90">
        <f t="shared" si="5"/>
        <v>0.8</v>
      </c>
      <c r="O51" s="91">
        <v>10000</v>
      </c>
      <c r="P51" s="88">
        <f t="shared" si="8"/>
        <v>20317.5</v>
      </c>
      <c r="Q51" s="80">
        <f t="shared" si="9"/>
        <v>27000</v>
      </c>
      <c r="R51" s="80">
        <f t="shared" si="10"/>
        <v>16200.000000000002</v>
      </c>
      <c r="S51" s="80"/>
      <c r="T51" s="2"/>
      <c r="U51" s="2"/>
      <c r="V51" s="2"/>
      <c r="W51" s="2"/>
      <c r="X51" s="2"/>
      <c r="Y51" s="2"/>
      <c r="Z51" s="2"/>
      <c r="AA51" s="2"/>
    </row>
    <row r="52" spans="1:27" ht="60">
      <c r="A52" s="75">
        <v>13</v>
      </c>
      <c r="B52" s="74">
        <v>38</v>
      </c>
      <c r="C52" s="68" t="s">
        <v>113</v>
      </c>
      <c r="D52" s="68" t="s">
        <v>114</v>
      </c>
      <c r="E52" s="68" t="s">
        <v>15</v>
      </c>
      <c r="F52" s="69">
        <v>1</v>
      </c>
      <c r="G52" s="67" t="s">
        <v>53</v>
      </c>
      <c r="H52" s="70">
        <f t="shared" si="6"/>
        <v>221040</v>
      </c>
      <c r="I52" s="71">
        <f t="shared" si="3"/>
        <v>0.105</v>
      </c>
      <c r="J52" s="64">
        <f t="shared" si="11"/>
        <v>21000</v>
      </c>
      <c r="K52" s="84">
        <f t="shared" si="7"/>
        <v>221000</v>
      </c>
      <c r="L52" s="83">
        <v>442065</v>
      </c>
      <c r="M52" s="89">
        <f t="shared" si="4"/>
        <v>-40</v>
      </c>
      <c r="N52" s="90">
        <f t="shared" si="5"/>
        <v>0.50001696583081678</v>
      </c>
      <c r="O52" s="91">
        <v>200000</v>
      </c>
      <c r="P52" s="88">
        <f t="shared" si="8"/>
        <v>442065</v>
      </c>
      <c r="Q52" s="80">
        <f t="shared" si="9"/>
        <v>200000</v>
      </c>
      <c r="R52" s="80">
        <f t="shared" si="10"/>
        <v>221000</v>
      </c>
      <c r="S52" s="80"/>
      <c r="T52" s="2"/>
      <c r="U52" s="2"/>
      <c r="V52" s="2"/>
      <c r="W52" s="2"/>
      <c r="X52" s="2"/>
      <c r="Y52" s="2"/>
      <c r="Z52" s="2"/>
      <c r="AA52" s="2"/>
    </row>
    <row r="53" spans="1:27" ht="60">
      <c r="A53" s="75">
        <v>13</v>
      </c>
      <c r="B53" s="74">
        <v>39</v>
      </c>
      <c r="C53" s="68" t="s">
        <v>19</v>
      </c>
      <c r="D53" s="68" t="s">
        <v>115</v>
      </c>
      <c r="E53" s="68" t="s">
        <v>15</v>
      </c>
      <c r="F53" s="69">
        <v>1</v>
      </c>
      <c r="G53" s="67" t="s">
        <v>53</v>
      </c>
      <c r="H53" s="70">
        <f t="shared" si="6"/>
        <v>82640</v>
      </c>
      <c r="I53" s="71">
        <f t="shared" si="3"/>
        <v>0.10133333333333333</v>
      </c>
      <c r="J53" s="64">
        <f t="shared" si="11"/>
        <v>7600</v>
      </c>
      <c r="K53" s="84">
        <f t="shared" si="7"/>
        <v>82600</v>
      </c>
      <c r="L53" s="83">
        <v>165280</v>
      </c>
      <c r="M53" s="89">
        <f t="shared" si="4"/>
        <v>-40</v>
      </c>
      <c r="N53" s="90">
        <f t="shared" si="5"/>
        <v>0.5</v>
      </c>
      <c r="O53" s="91">
        <v>75000</v>
      </c>
      <c r="P53" s="88">
        <f t="shared" si="8"/>
        <v>165280</v>
      </c>
      <c r="Q53" s="80">
        <f t="shared" si="9"/>
        <v>75000</v>
      </c>
      <c r="R53" s="80">
        <f t="shared" si="10"/>
        <v>82600</v>
      </c>
      <c r="S53" s="80"/>
      <c r="T53" s="2"/>
      <c r="U53" s="2"/>
      <c r="V53" s="2"/>
      <c r="W53" s="2"/>
      <c r="X53" s="2"/>
      <c r="Y53" s="2"/>
      <c r="Z53" s="2"/>
      <c r="AA53" s="2"/>
    </row>
    <row r="54" spans="1:27" ht="60">
      <c r="A54" s="75">
        <v>1</v>
      </c>
      <c r="B54" s="74">
        <v>40</v>
      </c>
      <c r="C54" s="68" t="s">
        <v>14</v>
      </c>
      <c r="D54" s="68" t="s">
        <v>116</v>
      </c>
      <c r="E54" s="68" t="s">
        <v>15</v>
      </c>
      <c r="F54" s="69">
        <v>1</v>
      </c>
      <c r="G54" s="67" t="s">
        <v>53</v>
      </c>
      <c r="H54" s="70">
        <f t="shared" si="6"/>
        <v>381290</v>
      </c>
      <c r="I54" s="71">
        <f t="shared" si="3"/>
        <v>-4.7E-2</v>
      </c>
      <c r="J54" s="64">
        <f t="shared" si="11"/>
        <v>-18800</v>
      </c>
      <c r="K54" s="84">
        <f t="shared" si="7"/>
        <v>381200</v>
      </c>
      <c r="L54" s="83">
        <v>476610</v>
      </c>
      <c r="M54" s="89">
        <f t="shared" si="4"/>
        <v>-90</v>
      </c>
      <c r="N54" s="90">
        <f t="shared" si="5"/>
        <v>0.80000419630305697</v>
      </c>
      <c r="O54" s="91">
        <v>400000</v>
      </c>
      <c r="P54" s="88">
        <f t="shared" si="8"/>
        <v>476610</v>
      </c>
      <c r="Q54" s="80">
        <f t="shared" si="9"/>
        <v>400000</v>
      </c>
      <c r="R54" s="80">
        <f t="shared" si="10"/>
        <v>381200</v>
      </c>
      <c r="S54" s="80"/>
      <c r="T54" s="2"/>
      <c r="U54" s="2"/>
      <c r="V54" s="2"/>
      <c r="W54" s="2"/>
      <c r="X54" s="2"/>
      <c r="Y54" s="2"/>
      <c r="Z54" s="2"/>
      <c r="AA54" s="2"/>
    </row>
    <row r="55" spans="1:27" ht="60">
      <c r="A55" s="75">
        <v>3</v>
      </c>
      <c r="B55" s="74">
        <v>41</v>
      </c>
      <c r="C55" s="68" t="s">
        <v>19</v>
      </c>
      <c r="D55" s="68" t="s">
        <v>117</v>
      </c>
      <c r="E55" s="68" t="s">
        <v>15</v>
      </c>
      <c r="F55" s="69">
        <v>1</v>
      </c>
      <c r="G55" s="67" t="s">
        <v>53</v>
      </c>
      <c r="H55" s="70">
        <f t="shared" si="6"/>
        <v>81850</v>
      </c>
      <c r="I55" s="71">
        <f t="shared" si="3"/>
        <v>9.0666666666666673E-2</v>
      </c>
      <c r="J55" s="64">
        <f t="shared" si="11"/>
        <v>6800</v>
      </c>
      <c r="K55" s="84">
        <f t="shared" si="7"/>
        <v>81800</v>
      </c>
      <c r="L55" s="83">
        <v>136410</v>
      </c>
      <c r="M55" s="89">
        <f t="shared" si="4"/>
        <v>-50</v>
      </c>
      <c r="N55" s="90">
        <f t="shared" si="5"/>
        <v>0.60002932336338977</v>
      </c>
      <c r="O55" s="91">
        <v>75000</v>
      </c>
      <c r="P55" s="88">
        <f t="shared" si="8"/>
        <v>136410</v>
      </c>
      <c r="Q55" s="80">
        <f t="shared" si="9"/>
        <v>75000</v>
      </c>
      <c r="R55" s="80">
        <f t="shared" si="10"/>
        <v>81800</v>
      </c>
      <c r="S55" s="80"/>
      <c r="T55" s="2"/>
      <c r="U55" s="2"/>
      <c r="V55" s="2"/>
      <c r="W55" s="2"/>
      <c r="X55" s="2"/>
      <c r="Y55" s="2"/>
      <c r="Z55" s="2"/>
      <c r="AA55" s="2"/>
    </row>
    <row r="56" spans="1:27" ht="75">
      <c r="A56" s="75">
        <v>13</v>
      </c>
      <c r="B56" s="74">
        <v>42</v>
      </c>
      <c r="C56" s="68" t="s">
        <v>18</v>
      </c>
      <c r="D56" s="68" t="s">
        <v>118</v>
      </c>
      <c r="E56" s="68" t="s">
        <v>12</v>
      </c>
      <c r="F56" s="69">
        <v>3</v>
      </c>
      <c r="G56" s="67" t="s">
        <v>53</v>
      </c>
      <c r="H56" s="70">
        <f t="shared" si="6"/>
        <v>10420</v>
      </c>
      <c r="I56" s="71">
        <f t="shared" si="3"/>
        <v>0</v>
      </c>
      <c r="J56" s="64">
        <f t="shared" si="11"/>
        <v>0</v>
      </c>
      <c r="K56" s="84">
        <f t="shared" si="7"/>
        <v>12000</v>
      </c>
      <c r="L56" s="83">
        <v>20829</v>
      </c>
      <c r="M56" s="89">
        <f t="shared" si="4"/>
        <v>1580</v>
      </c>
      <c r="N56" s="90">
        <f t="shared" si="5"/>
        <v>0.50026405492342407</v>
      </c>
      <c r="O56" s="91">
        <v>12000</v>
      </c>
      <c r="P56" s="88">
        <f t="shared" si="8"/>
        <v>62487</v>
      </c>
      <c r="Q56" s="80">
        <f t="shared" si="9"/>
        <v>36000</v>
      </c>
      <c r="R56" s="80">
        <f t="shared" si="10"/>
        <v>36000</v>
      </c>
      <c r="S56" s="80"/>
      <c r="T56" s="2"/>
      <c r="U56" s="2"/>
      <c r="V56" s="2"/>
      <c r="W56" s="2"/>
      <c r="X56" s="2"/>
      <c r="Y56" s="2"/>
      <c r="Z56" s="2"/>
      <c r="AA56" s="2"/>
    </row>
    <row r="57" spans="1:27" ht="75">
      <c r="A57" s="75">
        <v>13</v>
      </c>
      <c r="B57" s="74">
        <v>43</v>
      </c>
      <c r="C57" s="68" t="s">
        <v>19</v>
      </c>
      <c r="D57" s="68" t="s">
        <v>119</v>
      </c>
      <c r="E57" s="68" t="s">
        <v>12</v>
      </c>
      <c r="F57" s="69">
        <v>3</v>
      </c>
      <c r="G57" s="67" t="s">
        <v>53</v>
      </c>
      <c r="H57" s="70">
        <f t="shared" si="6"/>
        <v>15260</v>
      </c>
      <c r="I57" s="71">
        <f t="shared" si="3"/>
        <v>1.3333333333333334E-2</v>
      </c>
      <c r="J57" s="64">
        <f t="shared" si="11"/>
        <v>200</v>
      </c>
      <c r="K57" s="84">
        <f t="shared" si="7"/>
        <v>15200</v>
      </c>
      <c r="L57" s="83">
        <v>30520</v>
      </c>
      <c r="M57" s="89">
        <f t="shared" si="4"/>
        <v>-60</v>
      </c>
      <c r="N57" s="90">
        <f t="shared" si="5"/>
        <v>0.5</v>
      </c>
      <c r="O57" s="91">
        <v>15000</v>
      </c>
      <c r="P57" s="88">
        <f t="shared" si="8"/>
        <v>91560</v>
      </c>
      <c r="Q57" s="80">
        <f t="shared" si="9"/>
        <v>45000</v>
      </c>
      <c r="R57" s="80">
        <f t="shared" si="10"/>
        <v>45600</v>
      </c>
      <c r="S57" s="80"/>
      <c r="T57" s="2"/>
      <c r="U57" s="2"/>
      <c r="V57" s="2"/>
      <c r="W57" s="2"/>
      <c r="X57" s="2"/>
      <c r="Y57" s="2"/>
      <c r="Z57" s="2"/>
      <c r="AA57" s="2"/>
    </row>
    <row r="58" spans="1:27" ht="75">
      <c r="A58" s="75">
        <v>1</v>
      </c>
      <c r="B58" s="74">
        <v>44</v>
      </c>
      <c r="C58" s="68" t="s">
        <v>14</v>
      </c>
      <c r="D58" s="68" t="s">
        <v>120</v>
      </c>
      <c r="E58" s="68" t="s">
        <v>12</v>
      </c>
      <c r="F58" s="69">
        <v>1</v>
      </c>
      <c r="G58" s="67" t="s">
        <v>53</v>
      </c>
      <c r="H58" s="70">
        <f t="shared" si="6"/>
        <v>691720</v>
      </c>
      <c r="I58" s="71">
        <f t="shared" si="3"/>
        <v>6.4153846153846159E-2</v>
      </c>
      <c r="J58" s="64">
        <f t="shared" si="11"/>
        <v>41700</v>
      </c>
      <c r="K58" s="84">
        <f t="shared" si="7"/>
        <v>691700</v>
      </c>
      <c r="L58" s="83">
        <v>864650</v>
      </c>
      <c r="M58" s="89">
        <f t="shared" si="4"/>
        <v>-20</v>
      </c>
      <c r="N58" s="90">
        <f t="shared" si="5"/>
        <v>0.8</v>
      </c>
      <c r="O58" s="91">
        <v>650000</v>
      </c>
      <c r="P58" s="88">
        <f t="shared" si="8"/>
        <v>864650</v>
      </c>
      <c r="Q58" s="80">
        <f t="shared" si="9"/>
        <v>650000</v>
      </c>
      <c r="R58" s="80">
        <f t="shared" si="10"/>
        <v>691700</v>
      </c>
      <c r="S58" s="80"/>
      <c r="T58" s="2"/>
      <c r="U58" s="2"/>
      <c r="V58" s="2"/>
      <c r="W58" s="2"/>
      <c r="X58" s="2"/>
      <c r="Y58" s="2"/>
      <c r="Z58" s="2"/>
      <c r="AA58" s="2"/>
    </row>
    <row r="59" spans="1:27" ht="75">
      <c r="A59" s="75">
        <v>13</v>
      </c>
      <c r="B59" s="74">
        <v>45</v>
      </c>
      <c r="C59" s="68" t="s">
        <v>121</v>
      </c>
      <c r="D59" s="68" t="s">
        <v>122</v>
      </c>
      <c r="E59" s="68" t="s">
        <v>12</v>
      </c>
      <c r="F59" s="69">
        <v>12.6</v>
      </c>
      <c r="G59" s="67" t="s">
        <v>53</v>
      </c>
      <c r="H59" s="70">
        <f t="shared" si="6"/>
        <v>69320</v>
      </c>
      <c r="I59" s="71">
        <f t="shared" si="3"/>
        <v>0</v>
      </c>
      <c r="J59" s="64">
        <f t="shared" si="11"/>
        <v>0</v>
      </c>
      <c r="K59" s="84">
        <f t="shared" si="7"/>
        <v>80000</v>
      </c>
      <c r="L59" s="83">
        <v>138640</v>
      </c>
      <c r="M59" s="89">
        <f t="shared" si="4"/>
        <v>10680</v>
      </c>
      <c r="N59" s="90">
        <f t="shared" si="5"/>
        <v>0.5</v>
      </c>
      <c r="O59" s="91">
        <v>80000</v>
      </c>
      <c r="P59" s="88">
        <f t="shared" si="8"/>
        <v>1746864</v>
      </c>
      <c r="Q59" s="80">
        <f t="shared" si="9"/>
        <v>1008000</v>
      </c>
      <c r="R59" s="80">
        <f t="shared" si="10"/>
        <v>1008000</v>
      </c>
      <c r="S59" s="80"/>
      <c r="T59" s="2"/>
      <c r="U59" s="2"/>
      <c r="V59" s="2"/>
      <c r="W59" s="2"/>
      <c r="X59" s="2"/>
      <c r="Y59" s="2"/>
      <c r="Z59" s="2"/>
      <c r="AA59" s="2"/>
    </row>
    <row r="60" spans="1:27" ht="75">
      <c r="A60" s="75">
        <v>2</v>
      </c>
      <c r="B60" s="74">
        <v>46</v>
      </c>
      <c r="C60" s="68" t="s">
        <v>19</v>
      </c>
      <c r="D60" s="68" t="s">
        <v>123</v>
      </c>
      <c r="E60" s="68" t="s">
        <v>12</v>
      </c>
      <c r="F60" s="69">
        <v>12.6</v>
      </c>
      <c r="G60" s="67" t="s">
        <v>53</v>
      </c>
      <c r="H60" s="70">
        <f t="shared" si="6"/>
        <v>67050</v>
      </c>
      <c r="I60" s="71">
        <f t="shared" si="3"/>
        <v>0.48888888888888887</v>
      </c>
      <c r="J60" s="64">
        <f t="shared" si="11"/>
        <v>22000</v>
      </c>
      <c r="K60" s="84">
        <f t="shared" si="7"/>
        <v>67000</v>
      </c>
      <c r="L60" s="83">
        <v>149000</v>
      </c>
      <c r="M60" s="89">
        <f t="shared" si="4"/>
        <v>-50</v>
      </c>
      <c r="N60" s="90">
        <f t="shared" si="5"/>
        <v>0.45</v>
      </c>
      <c r="O60" s="91">
        <v>45000</v>
      </c>
      <c r="P60" s="88">
        <f t="shared" si="8"/>
        <v>1877400</v>
      </c>
      <c r="Q60" s="80">
        <f t="shared" si="9"/>
        <v>567000</v>
      </c>
      <c r="R60" s="80">
        <f t="shared" si="10"/>
        <v>844200</v>
      </c>
      <c r="S60" s="80"/>
      <c r="T60" s="2"/>
      <c r="U60" s="2"/>
      <c r="V60" s="2"/>
      <c r="W60" s="2"/>
      <c r="X60" s="2"/>
      <c r="Y60" s="2"/>
      <c r="Z60" s="2"/>
      <c r="AA60" s="2"/>
    </row>
    <row r="61" spans="1:27" ht="75">
      <c r="A61" s="75">
        <v>1</v>
      </c>
      <c r="B61" s="74">
        <v>47</v>
      </c>
      <c r="C61" s="68" t="s">
        <v>95</v>
      </c>
      <c r="D61" s="68" t="s">
        <v>98</v>
      </c>
      <c r="E61" s="68" t="s">
        <v>9</v>
      </c>
      <c r="F61" s="69">
        <v>10</v>
      </c>
      <c r="G61" s="67" t="s">
        <v>53</v>
      </c>
      <c r="H61" s="70">
        <f t="shared" si="6"/>
        <v>20610</v>
      </c>
      <c r="I61" s="71">
        <f t="shared" si="3"/>
        <v>0.28749999999999998</v>
      </c>
      <c r="J61" s="64">
        <f t="shared" si="11"/>
        <v>4600</v>
      </c>
      <c r="K61" s="84">
        <f t="shared" si="7"/>
        <v>20600</v>
      </c>
      <c r="L61" s="83">
        <v>25761</v>
      </c>
      <c r="M61" s="89">
        <f t="shared" si="4"/>
        <v>-10</v>
      </c>
      <c r="N61" s="90">
        <f t="shared" si="5"/>
        <v>0.80004658204262258</v>
      </c>
      <c r="O61" s="91">
        <f>+O40</f>
        <v>16000</v>
      </c>
      <c r="P61" s="88">
        <f t="shared" si="8"/>
        <v>257610</v>
      </c>
      <c r="Q61" s="80">
        <f t="shared" si="9"/>
        <v>160000</v>
      </c>
      <c r="R61" s="80">
        <f t="shared" si="10"/>
        <v>206000</v>
      </c>
      <c r="S61" s="80"/>
      <c r="T61" s="2"/>
      <c r="U61" s="2"/>
      <c r="V61" s="2"/>
      <c r="W61" s="2"/>
      <c r="X61" s="2"/>
      <c r="Y61" s="2"/>
      <c r="Z61" s="2"/>
      <c r="AA61" s="2"/>
    </row>
    <row r="62" spans="1:27" ht="60">
      <c r="A62" s="75">
        <v>13</v>
      </c>
      <c r="B62" s="74">
        <v>48</v>
      </c>
      <c r="C62" s="68" t="s">
        <v>95</v>
      </c>
      <c r="D62" s="68" t="s">
        <v>124</v>
      </c>
      <c r="E62" s="68" t="s">
        <v>15</v>
      </c>
      <c r="F62" s="69">
        <v>3</v>
      </c>
      <c r="G62" s="67" t="s">
        <v>53</v>
      </c>
      <c r="H62" s="70">
        <f t="shared" si="6"/>
        <v>25770</v>
      </c>
      <c r="I62" s="71">
        <f t="shared" si="3"/>
        <v>0.27860696517412936</v>
      </c>
      <c r="J62" s="64">
        <f t="shared" si="11"/>
        <v>5600</v>
      </c>
      <c r="K62" s="84">
        <f t="shared" si="7"/>
        <v>25700</v>
      </c>
      <c r="L62" s="83">
        <v>51522</v>
      </c>
      <c r="M62" s="89">
        <f t="shared" si="4"/>
        <v>-70</v>
      </c>
      <c r="N62" s="90">
        <f t="shared" si="5"/>
        <v>0.50017468265983467</v>
      </c>
      <c r="O62" s="91">
        <f>+O41</f>
        <v>20100</v>
      </c>
      <c r="P62" s="88">
        <f t="shared" si="8"/>
        <v>154566</v>
      </c>
      <c r="Q62" s="80">
        <f t="shared" si="9"/>
        <v>60300</v>
      </c>
      <c r="R62" s="80">
        <f t="shared" si="10"/>
        <v>77100</v>
      </c>
      <c r="S62" s="80"/>
      <c r="T62" s="2"/>
      <c r="U62" s="2"/>
      <c r="V62" s="2"/>
      <c r="W62" s="2"/>
      <c r="X62" s="2"/>
      <c r="Y62" s="2"/>
      <c r="Z62" s="2"/>
      <c r="AA62" s="2"/>
    </row>
    <row r="63" spans="1:27" ht="60">
      <c r="A63" s="75">
        <v>1</v>
      </c>
      <c r="B63" s="74">
        <v>49</v>
      </c>
      <c r="C63" s="68" t="s">
        <v>19</v>
      </c>
      <c r="D63" s="68" t="s">
        <v>101</v>
      </c>
      <c r="E63" s="68" t="s">
        <v>15</v>
      </c>
      <c r="F63" s="69">
        <v>3</v>
      </c>
      <c r="G63" s="67" t="s">
        <v>53</v>
      </c>
      <c r="H63" s="70">
        <f t="shared" si="6"/>
        <v>92440</v>
      </c>
      <c r="I63" s="71">
        <f t="shared" si="3"/>
        <v>1.595505617977528</v>
      </c>
      <c r="J63" s="64">
        <f t="shared" si="11"/>
        <v>56800</v>
      </c>
      <c r="K63" s="84">
        <f t="shared" si="7"/>
        <v>92400</v>
      </c>
      <c r="L63" s="83">
        <v>115548</v>
      </c>
      <c r="M63" s="89">
        <f t="shared" si="4"/>
        <v>-40</v>
      </c>
      <c r="N63" s="90">
        <f t="shared" si="5"/>
        <v>0.80001384705923084</v>
      </c>
      <c r="O63" s="91">
        <f>+O42</f>
        <v>35600</v>
      </c>
      <c r="P63" s="88">
        <f t="shared" si="8"/>
        <v>346644</v>
      </c>
      <c r="Q63" s="80">
        <f t="shared" si="9"/>
        <v>106800</v>
      </c>
      <c r="R63" s="80">
        <f t="shared" si="10"/>
        <v>277200</v>
      </c>
      <c r="S63" s="80"/>
      <c r="T63" s="2"/>
      <c r="U63" s="2"/>
      <c r="V63" s="2"/>
      <c r="W63" s="2"/>
      <c r="X63" s="2"/>
      <c r="Y63" s="2"/>
      <c r="Z63" s="2"/>
      <c r="AA63" s="2"/>
    </row>
    <row r="64" spans="1:27" ht="60">
      <c r="A64" s="75">
        <v>1</v>
      </c>
      <c r="B64" s="74">
        <v>50</v>
      </c>
      <c r="C64" s="68" t="s">
        <v>95</v>
      </c>
      <c r="D64" s="68" t="s">
        <v>125</v>
      </c>
      <c r="E64" s="68" t="s">
        <v>15</v>
      </c>
      <c r="F64" s="69">
        <v>2</v>
      </c>
      <c r="G64" s="67" t="s">
        <v>53</v>
      </c>
      <c r="H64" s="70">
        <f t="shared" si="6"/>
        <v>200250</v>
      </c>
      <c r="I64" s="71">
        <f t="shared" si="3"/>
        <v>0.33466666666666667</v>
      </c>
      <c r="J64" s="64">
        <f t="shared" si="11"/>
        <v>50200</v>
      </c>
      <c r="K64" s="84">
        <f t="shared" si="7"/>
        <v>200200</v>
      </c>
      <c r="L64" s="83">
        <v>250303</v>
      </c>
      <c r="M64" s="89">
        <f t="shared" si="4"/>
        <v>-50</v>
      </c>
      <c r="N64" s="90">
        <f t="shared" si="5"/>
        <v>0.80003036319980181</v>
      </c>
      <c r="O64" s="91">
        <f>150000</f>
        <v>150000</v>
      </c>
      <c r="P64" s="88">
        <f t="shared" si="8"/>
        <v>500606</v>
      </c>
      <c r="Q64" s="80">
        <f t="shared" si="9"/>
        <v>300000</v>
      </c>
      <c r="R64" s="80">
        <f t="shared" si="10"/>
        <v>400400</v>
      </c>
      <c r="S64" s="80"/>
      <c r="T64" s="2"/>
      <c r="U64" s="2"/>
      <c r="V64" s="2"/>
      <c r="W64" s="2"/>
      <c r="X64" s="2"/>
      <c r="Y64" s="2"/>
      <c r="Z64" s="2"/>
      <c r="AA64" s="2"/>
    </row>
    <row r="65" spans="1:27" ht="60">
      <c r="A65" s="75">
        <v>1</v>
      </c>
      <c r="B65" s="74">
        <v>51</v>
      </c>
      <c r="C65" s="68" t="s">
        <v>19</v>
      </c>
      <c r="D65" s="68" t="s">
        <v>126</v>
      </c>
      <c r="E65" s="68" t="s">
        <v>15</v>
      </c>
      <c r="F65" s="69">
        <v>2</v>
      </c>
      <c r="G65" s="67" t="s">
        <v>53</v>
      </c>
      <c r="H65" s="70">
        <f t="shared" si="6"/>
        <v>63160</v>
      </c>
      <c r="I65" s="71">
        <f t="shared" si="3"/>
        <v>0.80285714285714282</v>
      </c>
      <c r="J65" s="64">
        <f t="shared" si="11"/>
        <v>28100</v>
      </c>
      <c r="K65" s="84">
        <f t="shared" si="7"/>
        <v>63100</v>
      </c>
      <c r="L65" s="83">
        <v>78940</v>
      </c>
      <c r="M65" s="89">
        <f t="shared" si="4"/>
        <v>-60</v>
      </c>
      <c r="N65" s="90">
        <f t="shared" si="5"/>
        <v>0.80010134279199396</v>
      </c>
      <c r="O65" s="91">
        <v>35000</v>
      </c>
      <c r="P65" s="88">
        <f t="shared" si="8"/>
        <v>157880</v>
      </c>
      <c r="Q65" s="80">
        <f t="shared" si="9"/>
        <v>70000</v>
      </c>
      <c r="R65" s="80">
        <f t="shared" si="10"/>
        <v>126200</v>
      </c>
      <c r="S65" s="80"/>
      <c r="T65" s="2"/>
      <c r="U65" s="2"/>
      <c r="V65" s="2"/>
      <c r="W65" s="2"/>
      <c r="X65" s="2"/>
      <c r="Y65" s="2"/>
      <c r="Z65" s="2"/>
      <c r="AA65" s="2"/>
    </row>
    <row r="66" spans="1:27">
      <c r="A66" s="2"/>
      <c r="B66" s="2"/>
      <c r="C66" s="2"/>
      <c r="D66" s="27"/>
      <c r="E66" s="2"/>
      <c r="F66" s="2"/>
      <c r="G66" s="2"/>
      <c r="H66" s="61" t="s">
        <v>21</v>
      </c>
      <c r="I66" s="70">
        <f>SUM(I15:I65)</f>
        <v>16.701585859665904</v>
      </c>
      <c r="J66" s="61"/>
      <c r="K66" s="84">
        <f>SUM(K15:K65)</f>
        <v>4955900</v>
      </c>
      <c r="L66" s="83"/>
      <c r="M66" s="83"/>
      <c r="N66" s="84"/>
      <c r="O66" s="84"/>
      <c r="P66" s="84"/>
      <c r="Q66" s="80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H67" s="2"/>
      <c r="I67" s="2"/>
      <c r="J67" s="2"/>
      <c r="K67" s="80"/>
      <c r="L67" s="77"/>
      <c r="M67" s="77"/>
      <c r="N67" s="80"/>
      <c r="O67" s="80"/>
      <c r="P67" s="80"/>
      <c r="Q67" s="80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2"/>
      <c r="B68" s="2"/>
      <c r="C68" s="2"/>
      <c r="D68" s="27"/>
      <c r="E68" s="2"/>
      <c r="F68" s="2"/>
      <c r="G68" s="2"/>
      <c r="H68" s="2"/>
      <c r="I68" s="2"/>
      <c r="J68" s="2"/>
      <c r="K68" s="80"/>
      <c r="L68" s="77"/>
      <c r="M68" s="77"/>
      <c r="N68" s="80"/>
      <c r="O68" s="80"/>
      <c r="P68" s="80"/>
      <c r="Q68" s="80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42">
      <c r="A69" s="2"/>
      <c r="B69" s="2"/>
      <c r="C69" s="2"/>
      <c r="D69" s="27"/>
      <c r="E69" s="2"/>
      <c r="F69" s="2"/>
      <c r="G69" s="2"/>
      <c r="H69" s="28" t="s">
        <v>22</v>
      </c>
      <c r="I69" s="29">
        <f>I66</f>
        <v>16.701585859665904</v>
      </c>
      <c r="J69" s="2"/>
      <c r="K69" s="80"/>
      <c r="L69" s="77"/>
      <c r="M69" s="77"/>
      <c r="N69" s="80"/>
      <c r="O69" s="80"/>
      <c r="P69" s="80"/>
      <c r="Q69" s="80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2"/>
      <c r="B70" s="2"/>
      <c r="C70" s="2"/>
      <c r="D70" s="27"/>
      <c r="E70" s="2"/>
      <c r="F70" s="2"/>
      <c r="G70" s="2"/>
      <c r="H70" s="2"/>
      <c r="I70" s="2"/>
      <c r="J70" s="2"/>
      <c r="K70" s="80"/>
      <c r="L70" s="77"/>
      <c r="M70" s="77"/>
      <c r="N70" s="80"/>
      <c r="O70" s="80"/>
      <c r="P70" s="80"/>
      <c r="Q70" s="80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/>
      <c r="B71" s="2"/>
      <c r="C71" s="2"/>
      <c r="D71" s="27"/>
      <c r="E71" s="2"/>
      <c r="F71" s="2"/>
      <c r="G71" s="2"/>
      <c r="H71" s="2"/>
      <c r="I71" s="2"/>
      <c r="J71" s="2"/>
      <c r="K71" s="80"/>
      <c r="L71" s="77"/>
      <c r="M71" s="77"/>
      <c r="N71" s="80"/>
      <c r="O71" s="80"/>
      <c r="P71" s="80"/>
      <c r="Q71" s="80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/>
      <c r="B72" s="2"/>
      <c r="C72" s="2"/>
      <c r="D72" s="27"/>
      <c r="E72" s="2"/>
      <c r="F72" s="2"/>
      <c r="G72" s="2"/>
      <c r="H72" s="2"/>
      <c r="I72" s="2"/>
      <c r="J72" s="2"/>
      <c r="K72" s="80"/>
      <c r="L72" s="77"/>
      <c r="M72" s="77"/>
      <c r="N72" s="80"/>
      <c r="O72" s="80"/>
      <c r="P72" s="80"/>
      <c r="Q72" s="80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/>
      <c r="B73" s="2"/>
      <c r="C73" s="30" t="s">
        <v>23</v>
      </c>
      <c r="D73" s="31"/>
      <c r="E73" s="2"/>
      <c r="F73" s="2"/>
      <c r="G73" s="2"/>
      <c r="H73" s="2"/>
      <c r="I73" s="2"/>
      <c r="J73" s="2"/>
      <c r="K73" s="80"/>
      <c r="L73" s="77"/>
      <c r="M73" s="77"/>
      <c r="N73" s="80"/>
      <c r="O73" s="80"/>
      <c r="P73" s="80"/>
      <c r="Q73" s="80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30">
      <c r="A74" s="2"/>
      <c r="B74" s="2"/>
      <c r="C74" s="2" t="s">
        <v>24</v>
      </c>
      <c r="D74" s="27" t="s">
        <v>38</v>
      </c>
      <c r="E74" s="2"/>
      <c r="F74" s="2"/>
      <c r="G74" s="2"/>
      <c r="H74" s="2"/>
      <c r="I74" s="2"/>
      <c r="J74" s="2"/>
      <c r="K74" s="80"/>
      <c r="L74" s="77"/>
      <c r="M74" s="77"/>
      <c r="N74" s="80"/>
      <c r="O74" s="80"/>
      <c r="P74" s="80"/>
      <c r="Q74" s="80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30">
      <c r="A75" s="2"/>
      <c r="B75" s="2"/>
      <c r="C75" s="2" t="s">
        <v>25</v>
      </c>
      <c r="D75" s="27" t="s">
        <v>39</v>
      </c>
      <c r="E75" s="2"/>
      <c r="F75" s="2"/>
      <c r="G75" s="2"/>
      <c r="H75" s="2"/>
      <c r="I75" s="2"/>
      <c r="J75" s="2"/>
      <c r="K75" s="80"/>
      <c r="L75" s="77"/>
      <c r="M75" s="77"/>
      <c r="N75" s="80"/>
      <c r="O75" s="80"/>
      <c r="P75" s="80"/>
      <c r="Q75" s="80"/>
      <c r="R75" s="2"/>
      <c r="S75" s="2"/>
      <c r="T75" s="2"/>
      <c r="U75" s="2"/>
      <c r="V75" s="2"/>
      <c r="W75" s="2"/>
      <c r="X75" s="2"/>
      <c r="Y75" s="2"/>
      <c r="Z75" s="2"/>
      <c r="AA75" s="2"/>
    </row>
  </sheetData>
  <autoFilter ref="D1:D75" xr:uid="{00000000-0009-0000-0000-000001000000}"/>
  <conditionalFormatting sqref="J1:J7 J10">
    <cfRule type="cellIs" dxfId="0" priority="2" operator="lessThan">
      <formula>0</formula>
    </cfRule>
  </conditionalFormatting>
  <conditionalFormatting sqref="Q15:Q6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J849"/>
  <sheetViews>
    <sheetView topLeftCell="A13" workbookViewId="0">
      <selection activeCell="C24" sqref="C24"/>
    </sheetView>
  </sheetViews>
  <sheetFormatPr baseColWidth="10" defaultColWidth="14.42578125" defaultRowHeight="15" customHeight="1"/>
  <cols>
    <col min="1" max="1" width="10.7109375" customWidth="1"/>
    <col min="2" max="2" width="10.42578125" customWidth="1"/>
    <col min="3" max="3" width="23.85546875" style="35" customWidth="1"/>
    <col min="4" max="4" width="7.85546875" bestFit="1" customWidth="1"/>
    <col min="5" max="5" width="10.85546875" bestFit="1" customWidth="1"/>
    <col min="6" max="6" width="15.42578125" style="45" bestFit="1" customWidth="1"/>
    <col min="7" max="7" width="17.7109375" style="45" customWidth="1"/>
    <col min="8" max="8" width="14.5703125" bestFit="1" customWidth="1"/>
    <col min="9" max="9" width="45.42578125" bestFit="1" customWidth="1"/>
    <col min="10" max="10" width="16.85546875" customWidth="1"/>
    <col min="11" max="26" width="10.7109375" customWidth="1"/>
  </cols>
  <sheetData>
    <row r="1" spans="3:10">
      <c r="G1" s="46"/>
      <c r="H1" s="32"/>
    </row>
    <row r="2" spans="3:10">
      <c r="G2" s="46"/>
      <c r="H2" s="32"/>
    </row>
    <row r="3" spans="3:10" ht="30">
      <c r="C3" s="36" t="s">
        <v>40</v>
      </c>
      <c r="D3" s="36" t="s">
        <v>41</v>
      </c>
      <c r="E3" s="36" t="s">
        <v>42</v>
      </c>
      <c r="F3" s="47" t="s">
        <v>43</v>
      </c>
      <c r="G3" s="47" t="s">
        <v>44</v>
      </c>
      <c r="H3" s="36" t="s">
        <v>45</v>
      </c>
      <c r="I3" s="37" t="s">
        <v>46</v>
      </c>
    </row>
    <row r="4" spans="3:10">
      <c r="C4" s="38" t="s">
        <v>52</v>
      </c>
      <c r="D4" s="40" t="s">
        <v>53</v>
      </c>
      <c r="E4" s="40" t="s">
        <v>53</v>
      </c>
      <c r="F4" s="49" t="s">
        <v>53</v>
      </c>
      <c r="G4" s="49" t="s">
        <v>53</v>
      </c>
      <c r="H4" s="41" t="e">
        <f t="shared" ref="H4:H47" si="0">G4/F4</f>
        <v>#VALUE!</v>
      </c>
      <c r="I4" s="53" t="s">
        <v>49</v>
      </c>
      <c r="J4" s="34"/>
    </row>
    <row r="5" spans="3:10">
      <c r="C5" s="38" t="s">
        <v>58</v>
      </c>
      <c r="D5" s="39">
        <v>444766</v>
      </c>
      <c r="E5" s="52" t="s">
        <v>57</v>
      </c>
      <c r="F5" s="50">
        <v>73829687</v>
      </c>
      <c r="G5" s="49">
        <v>34201906</v>
      </c>
      <c r="H5" s="41">
        <f t="shared" si="0"/>
        <v>0.46325411077524953</v>
      </c>
      <c r="I5" s="42"/>
    </row>
    <row r="6" spans="3:10" ht="45">
      <c r="C6" s="55" t="s">
        <v>65</v>
      </c>
      <c r="D6" s="39">
        <v>460117</v>
      </c>
      <c r="E6" s="52" t="s">
        <v>57</v>
      </c>
      <c r="F6" s="49">
        <v>338456817</v>
      </c>
      <c r="G6" s="49">
        <v>165786276</v>
      </c>
      <c r="H6" s="41">
        <f t="shared" si="0"/>
        <v>0.48982992119789392</v>
      </c>
      <c r="I6" s="42"/>
    </row>
    <row r="7" spans="3:10" ht="45">
      <c r="C7" s="55" t="s">
        <v>65</v>
      </c>
      <c r="D7" s="39">
        <v>464425</v>
      </c>
      <c r="E7" s="52" t="s">
        <v>57</v>
      </c>
      <c r="F7" s="49">
        <v>304613483</v>
      </c>
      <c r="G7" s="49">
        <v>157975972</v>
      </c>
      <c r="H7" s="41">
        <f t="shared" si="0"/>
        <v>0.51861122641114343</v>
      </c>
      <c r="I7" s="42"/>
    </row>
    <row r="8" spans="3:10" ht="30">
      <c r="C8" s="38" t="s">
        <v>56</v>
      </c>
      <c r="D8" s="39">
        <v>466754</v>
      </c>
      <c r="E8" s="40" t="s">
        <v>57</v>
      </c>
      <c r="F8" s="50">
        <v>16856293</v>
      </c>
      <c r="G8" s="49">
        <v>8745895</v>
      </c>
      <c r="H8" s="41">
        <f t="shared" si="0"/>
        <v>0.51885043763774163</v>
      </c>
      <c r="I8" s="42"/>
    </row>
    <row r="9" spans="3:10">
      <c r="C9" s="38" t="s">
        <v>58</v>
      </c>
      <c r="D9" s="39">
        <v>447685</v>
      </c>
      <c r="E9" s="52" t="s">
        <v>57</v>
      </c>
      <c r="F9" s="50">
        <v>115213628</v>
      </c>
      <c r="G9" s="49">
        <v>61415428</v>
      </c>
      <c r="H9" s="41">
        <f t="shared" si="0"/>
        <v>0.53305697482245762</v>
      </c>
      <c r="I9" s="42"/>
    </row>
    <row r="10" spans="3:10">
      <c r="C10" s="55" t="s">
        <v>62</v>
      </c>
      <c r="D10" s="39">
        <v>399552</v>
      </c>
      <c r="E10" s="52" t="s">
        <v>57</v>
      </c>
      <c r="F10" s="49">
        <v>178045124</v>
      </c>
      <c r="G10" s="49">
        <v>98855028</v>
      </c>
      <c r="H10" s="41">
        <f t="shared" si="0"/>
        <v>0.55522457329412744</v>
      </c>
      <c r="I10" s="42"/>
    </row>
    <row r="11" spans="3:10" ht="45">
      <c r="C11" s="55" t="s">
        <v>65</v>
      </c>
      <c r="D11" s="39">
        <v>459933</v>
      </c>
      <c r="E11" s="52" t="s">
        <v>57</v>
      </c>
      <c r="F11" s="49">
        <v>227432961</v>
      </c>
      <c r="G11" s="49">
        <v>135964650</v>
      </c>
      <c r="H11" s="41">
        <f t="shared" si="0"/>
        <v>0.59782297782246263</v>
      </c>
      <c r="I11" s="42"/>
    </row>
    <row r="12" spans="3:10" ht="45">
      <c r="C12" s="55" t="s">
        <v>64</v>
      </c>
      <c r="D12" s="39">
        <v>462710</v>
      </c>
      <c r="E12" s="52" t="s">
        <v>57</v>
      </c>
      <c r="F12" s="49">
        <v>6944250</v>
      </c>
      <c r="G12" s="49">
        <v>4677400</v>
      </c>
      <c r="H12" s="41">
        <f t="shared" si="0"/>
        <v>0.67356445980487456</v>
      </c>
      <c r="I12" s="42"/>
    </row>
    <row r="13" spans="3:10" ht="30">
      <c r="C13" s="55" t="s">
        <v>67</v>
      </c>
      <c r="D13" s="39">
        <v>430108</v>
      </c>
      <c r="E13" s="52" t="s">
        <v>57</v>
      </c>
      <c r="F13" s="50">
        <v>24389702</v>
      </c>
      <c r="G13" s="49">
        <v>16620413</v>
      </c>
      <c r="H13" s="41">
        <f t="shared" si="0"/>
        <v>0.68145207350216908</v>
      </c>
      <c r="I13" s="42"/>
    </row>
    <row r="14" spans="3:10">
      <c r="C14" s="55" t="s">
        <v>62</v>
      </c>
      <c r="D14" s="39">
        <v>400455</v>
      </c>
      <c r="E14" s="52" t="s">
        <v>57</v>
      </c>
      <c r="F14" s="49">
        <f>142919506*3</f>
        <v>428758518</v>
      </c>
      <c r="G14" s="49">
        <v>310319406</v>
      </c>
      <c r="H14" s="41">
        <f t="shared" si="0"/>
        <v>0.72376266120035426</v>
      </c>
      <c r="I14" s="54" t="s">
        <v>68</v>
      </c>
    </row>
    <row r="15" spans="3:10" ht="30">
      <c r="C15" s="55" t="s">
        <v>67</v>
      </c>
      <c r="D15" s="39">
        <v>435528</v>
      </c>
      <c r="E15" s="52" t="s">
        <v>57</v>
      </c>
      <c r="F15" s="50">
        <v>205704200</v>
      </c>
      <c r="G15" s="49">
        <v>154168630</v>
      </c>
      <c r="H15" s="41">
        <f t="shared" si="0"/>
        <v>0.74946758500798716</v>
      </c>
      <c r="I15" s="42"/>
    </row>
    <row r="16" spans="3:10">
      <c r="C16" s="55" t="s">
        <v>63</v>
      </c>
      <c r="D16" s="39">
        <v>443707</v>
      </c>
      <c r="E16" s="52" t="s">
        <v>57</v>
      </c>
      <c r="F16" s="49">
        <v>83530853</v>
      </c>
      <c r="G16" s="49">
        <v>63000000</v>
      </c>
      <c r="H16" s="41">
        <f t="shared" si="0"/>
        <v>0.75421233876301974</v>
      </c>
      <c r="I16" s="42"/>
    </row>
    <row r="17" spans="3:9" ht="30">
      <c r="C17" s="38" t="s">
        <v>56</v>
      </c>
      <c r="D17" s="39">
        <v>415092</v>
      </c>
      <c r="E17" s="40" t="s">
        <v>57</v>
      </c>
      <c r="F17" s="50">
        <v>130183748</v>
      </c>
      <c r="G17" s="49">
        <v>103100000</v>
      </c>
      <c r="H17" s="41">
        <f t="shared" si="0"/>
        <v>0.79195753374683908</v>
      </c>
      <c r="I17" s="42"/>
    </row>
    <row r="18" spans="3:9" ht="30">
      <c r="C18" s="55" t="s">
        <v>67</v>
      </c>
      <c r="D18" s="39">
        <v>422961</v>
      </c>
      <c r="E18" s="52" t="s">
        <v>57</v>
      </c>
      <c r="F18" s="50">
        <v>45844680</v>
      </c>
      <c r="G18" s="51">
        <v>36675744</v>
      </c>
      <c r="H18" s="41">
        <f t="shared" si="0"/>
        <v>0.8</v>
      </c>
      <c r="I18" s="42"/>
    </row>
    <row r="19" spans="3:9">
      <c r="C19" s="55" t="s">
        <v>61</v>
      </c>
      <c r="D19" s="39">
        <v>440855</v>
      </c>
      <c r="E19" s="52" t="s">
        <v>57</v>
      </c>
      <c r="F19" s="56">
        <f>753854+837428+178075+82891</f>
        <v>1852248</v>
      </c>
      <c r="G19" s="49">
        <v>1489760</v>
      </c>
      <c r="H19" s="41">
        <f t="shared" si="0"/>
        <v>0.80429834449814497</v>
      </c>
      <c r="I19" s="42"/>
    </row>
    <row r="20" spans="3:9" ht="30">
      <c r="C20" s="38" t="s">
        <v>56</v>
      </c>
      <c r="D20" s="39">
        <v>459845</v>
      </c>
      <c r="E20" s="40" t="s">
        <v>57</v>
      </c>
      <c r="F20" s="49">
        <v>280382512</v>
      </c>
      <c r="G20" s="49">
        <v>233731277</v>
      </c>
      <c r="H20" s="41">
        <f t="shared" si="0"/>
        <v>0.83361574633442193</v>
      </c>
      <c r="I20" s="42"/>
    </row>
    <row r="21" spans="3:9">
      <c r="C21" s="38" t="s">
        <v>50</v>
      </c>
      <c r="D21" s="39">
        <v>374082</v>
      </c>
      <c r="E21" s="40" t="s">
        <v>57</v>
      </c>
      <c r="F21" s="50">
        <v>20112000</v>
      </c>
      <c r="G21" s="51">
        <v>16994040</v>
      </c>
      <c r="H21" s="41">
        <f t="shared" si="0"/>
        <v>0.84497016706443917</v>
      </c>
      <c r="I21" s="42"/>
    </row>
    <row r="22" spans="3:9">
      <c r="C22" s="55" t="s">
        <v>63</v>
      </c>
      <c r="D22" s="39">
        <v>434746</v>
      </c>
      <c r="E22" s="57" t="s">
        <v>57</v>
      </c>
      <c r="F22" s="49">
        <v>101416574</v>
      </c>
      <c r="G22" s="49">
        <v>99047652</v>
      </c>
      <c r="H22" s="41">
        <f t="shared" si="0"/>
        <v>0.97664166805713626</v>
      </c>
      <c r="I22" s="42"/>
    </row>
    <row r="23" spans="3:9" ht="30">
      <c r="C23" s="38" t="s">
        <v>56</v>
      </c>
      <c r="D23" s="39">
        <v>436132</v>
      </c>
      <c r="E23" s="40" t="s">
        <v>57</v>
      </c>
      <c r="F23" s="49">
        <v>266031733</v>
      </c>
      <c r="G23" s="49">
        <v>289728202</v>
      </c>
      <c r="H23" s="41">
        <f t="shared" si="0"/>
        <v>1.089073843683152</v>
      </c>
      <c r="I23" s="42"/>
    </row>
    <row r="24" spans="3:9">
      <c r="C24" s="38" t="s">
        <v>47</v>
      </c>
      <c r="D24" s="39">
        <v>460696</v>
      </c>
      <c r="E24" s="40" t="s">
        <v>48</v>
      </c>
      <c r="F24" s="50">
        <v>181286405</v>
      </c>
      <c r="G24" s="51">
        <v>112401900</v>
      </c>
      <c r="H24" s="41">
        <f t="shared" si="0"/>
        <v>0.6200238787900284</v>
      </c>
      <c r="I24" s="41">
        <f>H24/G24</f>
        <v>5.5161334353781243E-9</v>
      </c>
    </row>
    <row r="25" spans="3:9">
      <c r="C25" s="38" t="s">
        <v>50</v>
      </c>
      <c r="D25" s="39">
        <v>417180</v>
      </c>
      <c r="E25" s="40" t="s">
        <v>48</v>
      </c>
      <c r="F25" s="50">
        <f>573465500+696129360</f>
        <v>1269594860</v>
      </c>
      <c r="G25" s="51">
        <v>814919238</v>
      </c>
      <c r="H25" s="41">
        <f t="shared" si="0"/>
        <v>0.64187345402453821</v>
      </c>
      <c r="I25" s="42"/>
    </row>
    <row r="26" spans="3:9">
      <c r="C26" s="38" t="s">
        <v>47</v>
      </c>
      <c r="D26" s="39">
        <v>465495</v>
      </c>
      <c r="E26" s="40" t="s">
        <v>48</v>
      </c>
      <c r="F26" s="48">
        <v>70467655</v>
      </c>
      <c r="G26" s="49">
        <v>47960320</v>
      </c>
      <c r="H26" s="41">
        <f t="shared" si="0"/>
        <v>0.680600482590204</v>
      </c>
      <c r="I26" s="40" t="s">
        <v>49</v>
      </c>
    </row>
    <row r="27" spans="3:9">
      <c r="C27" s="55" t="s">
        <v>61</v>
      </c>
      <c r="D27" s="39">
        <v>419207</v>
      </c>
      <c r="E27" s="52" t="s">
        <v>48</v>
      </c>
      <c r="F27" s="49">
        <v>980017800</v>
      </c>
      <c r="G27" s="49">
        <v>687022410</v>
      </c>
      <c r="H27" s="41">
        <f t="shared" si="0"/>
        <v>0.70103054250647279</v>
      </c>
      <c r="I27" s="42"/>
    </row>
    <row r="28" spans="3:9">
      <c r="C28" s="38" t="s">
        <v>50</v>
      </c>
      <c r="D28" s="39">
        <v>445665</v>
      </c>
      <c r="E28" s="40" t="s">
        <v>48</v>
      </c>
      <c r="F28" s="50">
        <v>135146007</v>
      </c>
      <c r="G28" s="51">
        <v>98523290</v>
      </c>
      <c r="H28" s="41">
        <f t="shared" si="0"/>
        <v>0.72901369553596951</v>
      </c>
      <c r="I28" s="42"/>
    </row>
    <row r="29" spans="3:9" ht="45">
      <c r="C29" s="55" t="s">
        <v>64</v>
      </c>
      <c r="D29" s="39">
        <v>448198</v>
      </c>
      <c r="E29" s="52" t="s">
        <v>48</v>
      </c>
      <c r="F29" s="49">
        <f xml:space="preserve"> 2820063420+992010955</f>
        <v>3812074375</v>
      </c>
      <c r="G29" s="49">
        <f>2249422900+737860100</f>
        <v>2987283000</v>
      </c>
      <c r="H29" s="41">
        <f t="shared" si="0"/>
        <v>0.78363712407893404</v>
      </c>
      <c r="I29" s="42"/>
    </row>
    <row r="30" spans="3:9">
      <c r="C30" s="55" t="s">
        <v>61</v>
      </c>
      <c r="D30" s="39">
        <v>441613</v>
      </c>
      <c r="E30" s="52" t="s">
        <v>48</v>
      </c>
      <c r="F30" s="49">
        <v>676953950.5</v>
      </c>
      <c r="G30" s="49">
        <v>541769366</v>
      </c>
      <c r="H30" s="41">
        <f t="shared" si="0"/>
        <v>0.80030460801631731</v>
      </c>
      <c r="I30" s="42"/>
    </row>
    <row r="31" spans="3:9" ht="45">
      <c r="C31" s="55" t="s">
        <v>64</v>
      </c>
      <c r="D31" s="39">
        <v>448490</v>
      </c>
      <c r="E31" s="52" t="s">
        <v>48</v>
      </c>
      <c r="F31" s="49">
        <f>702292287+199998000</f>
        <v>902290287</v>
      </c>
      <c r="G31" s="49">
        <v>722300268</v>
      </c>
      <c r="H31" s="41">
        <f t="shared" si="0"/>
        <v>0.80051872264031143</v>
      </c>
      <c r="I31" s="42"/>
    </row>
    <row r="32" spans="3:9">
      <c r="C32" s="38" t="s">
        <v>50</v>
      </c>
      <c r="D32" s="39">
        <v>457482</v>
      </c>
      <c r="E32" s="40" t="s">
        <v>48</v>
      </c>
      <c r="F32" s="50">
        <v>590866043</v>
      </c>
      <c r="G32" s="51">
        <v>484073658</v>
      </c>
      <c r="H32" s="41">
        <f t="shared" si="0"/>
        <v>0.81926125851168607</v>
      </c>
      <c r="I32" s="42"/>
    </row>
    <row r="33" spans="3:10">
      <c r="C33" s="38" t="s">
        <v>58</v>
      </c>
      <c r="D33" s="39">
        <v>459720</v>
      </c>
      <c r="E33" s="52" t="s">
        <v>48</v>
      </c>
      <c r="F33" s="50">
        <f>83380987+174272741</f>
        <v>257653728</v>
      </c>
      <c r="G33" s="49">
        <v>219605550</v>
      </c>
      <c r="H33" s="41">
        <f t="shared" si="0"/>
        <v>0.85232824576091526</v>
      </c>
      <c r="I33" s="42"/>
    </row>
    <row r="34" spans="3:10">
      <c r="C34" s="38" t="s">
        <v>59</v>
      </c>
      <c r="D34" s="39">
        <v>435545</v>
      </c>
      <c r="E34" s="40" t="s">
        <v>48</v>
      </c>
      <c r="F34" s="50">
        <v>540731402.5</v>
      </c>
      <c r="G34" s="49">
        <v>464734131</v>
      </c>
      <c r="H34" s="41">
        <f t="shared" si="0"/>
        <v>0.85945467352434746</v>
      </c>
      <c r="I34" s="42"/>
    </row>
    <row r="35" spans="3:10">
      <c r="C35" s="38" t="s">
        <v>59</v>
      </c>
      <c r="D35" s="39">
        <v>419188</v>
      </c>
      <c r="E35" s="52" t="s">
        <v>48</v>
      </c>
      <c r="F35" s="50">
        <v>57572341.100000001</v>
      </c>
      <c r="G35" s="49">
        <v>50663596</v>
      </c>
      <c r="H35" s="41">
        <f t="shared" si="0"/>
        <v>0.87999888543702109</v>
      </c>
      <c r="I35" s="42"/>
    </row>
    <row r="36" spans="3:10">
      <c r="C36" s="38" t="s">
        <v>47</v>
      </c>
      <c r="D36" s="39">
        <v>443130</v>
      </c>
      <c r="E36" s="40" t="s">
        <v>48</v>
      </c>
      <c r="F36" s="50">
        <v>382236759.89999998</v>
      </c>
      <c r="G36" s="51">
        <v>351487488</v>
      </c>
      <c r="H36" s="41">
        <f t="shared" si="0"/>
        <v>0.91955438323607452</v>
      </c>
      <c r="I36" s="42"/>
    </row>
    <row r="37" spans="3:10">
      <c r="C37" s="38" t="s">
        <v>58</v>
      </c>
      <c r="D37" s="39">
        <v>461244</v>
      </c>
      <c r="E37" s="40" t="s">
        <v>48</v>
      </c>
      <c r="F37" s="50">
        <v>4581676142</v>
      </c>
      <c r="G37" s="49">
        <v>4261358488</v>
      </c>
      <c r="H37" s="41">
        <f t="shared" si="0"/>
        <v>0.93008723356422685</v>
      </c>
      <c r="I37" s="42"/>
    </row>
    <row r="38" spans="3:10">
      <c r="C38" s="38" t="s">
        <v>54</v>
      </c>
      <c r="D38" s="44">
        <v>435895</v>
      </c>
      <c r="E38" s="40" t="s">
        <v>48</v>
      </c>
      <c r="F38" s="50">
        <v>204454240.53999999</v>
      </c>
      <c r="G38" s="49">
        <v>190211270</v>
      </c>
      <c r="H38" s="41">
        <f t="shared" si="0"/>
        <v>0.93033663423961388</v>
      </c>
      <c r="I38" s="43" t="s">
        <v>55</v>
      </c>
    </row>
    <row r="39" spans="3:10">
      <c r="C39" s="38" t="s">
        <v>51</v>
      </c>
      <c r="D39" s="39">
        <v>374318</v>
      </c>
      <c r="E39" s="40" t="s">
        <v>48</v>
      </c>
      <c r="F39" s="50">
        <v>151095000</v>
      </c>
      <c r="G39" s="49">
        <v>141800000</v>
      </c>
      <c r="H39" s="41">
        <f t="shared" si="0"/>
        <v>0.93848241172772096</v>
      </c>
      <c r="I39" s="42"/>
    </row>
    <row r="40" spans="3:10">
      <c r="C40" s="38" t="s">
        <v>54</v>
      </c>
      <c r="D40" s="39">
        <v>436064</v>
      </c>
      <c r="E40" s="40" t="s">
        <v>48</v>
      </c>
      <c r="F40" s="50">
        <v>280007850</v>
      </c>
      <c r="G40" s="51">
        <v>269716480</v>
      </c>
      <c r="H40" s="41">
        <f t="shared" si="0"/>
        <v>0.9632461375636433</v>
      </c>
      <c r="I40" s="43" t="s">
        <v>55</v>
      </c>
    </row>
    <row r="41" spans="3:10">
      <c r="C41" s="38" t="s">
        <v>51</v>
      </c>
      <c r="D41" s="39">
        <v>417711</v>
      </c>
      <c r="E41" s="40" t="s">
        <v>48</v>
      </c>
      <c r="F41" s="50">
        <v>185797500</v>
      </c>
      <c r="G41" s="49">
        <v>181250550</v>
      </c>
      <c r="H41" s="41">
        <f t="shared" si="0"/>
        <v>0.97552738868929878</v>
      </c>
      <c r="I41" s="43"/>
      <c r="J41" s="33"/>
    </row>
    <row r="42" spans="3:10">
      <c r="C42" s="38" t="s">
        <v>60</v>
      </c>
      <c r="D42" s="39">
        <v>432873</v>
      </c>
      <c r="E42" s="52" t="s">
        <v>48</v>
      </c>
      <c r="F42" s="50">
        <v>187549923</v>
      </c>
      <c r="G42" s="49">
        <v>183745310</v>
      </c>
      <c r="H42" s="41">
        <f t="shared" si="0"/>
        <v>0.97971413190076329</v>
      </c>
      <c r="I42" s="42"/>
    </row>
    <row r="43" spans="3:10">
      <c r="C43" s="38" t="s">
        <v>60</v>
      </c>
      <c r="D43" s="39">
        <v>433631</v>
      </c>
      <c r="E43" s="52" t="s">
        <v>48</v>
      </c>
      <c r="F43" s="50">
        <v>187650256</v>
      </c>
      <c r="G43" s="49">
        <v>184016190</v>
      </c>
      <c r="H43" s="41">
        <f t="shared" si="0"/>
        <v>0.98063383404070603</v>
      </c>
      <c r="I43" s="54" t="s">
        <v>66</v>
      </c>
    </row>
    <row r="44" spans="3:10">
      <c r="C44" s="38" t="s">
        <v>51</v>
      </c>
      <c r="D44" s="39">
        <v>300084</v>
      </c>
      <c r="E44" s="40" t="s">
        <v>48</v>
      </c>
      <c r="F44" s="50">
        <v>800000000</v>
      </c>
      <c r="G44" s="49">
        <v>790179539</v>
      </c>
      <c r="H44" s="41">
        <f t="shared" si="0"/>
        <v>0.98772442375000002</v>
      </c>
      <c r="I44" s="42"/>
    </row>
    <row r="45" spans="3:10">
      <c r="C45" s="55" t="s">
        <v>63</v>
      </c>
      <c r="D45" s="39">
        <v>436256</v>
      </c>
      <c r="E45" s="58" t="s">
        <v>48</v>
      </c>
      <c r="F45" s="49">
        <v>419695374</v>
      </c>
      <c r="G45" s="49">
        <v>415898950</v>
      </c>
      <c r="H45" s="41">
        <f t="shared" si="0"/>
        <v>0.99095433441684777</v>
      </c>
      <c r="I45" s="42"/>
    </row>
    <row r="46" spans="3:10">
      <c r="C46" s="38" t="s">
        <v>60</v>
      </c>
      <c r="D46" s="39">
        <v>435895</v>
      </c>
      <c r="E46" s="40" t="s">
        <v>48</v>
      </c>
      <c r="F46" s="50">
        <v>204454241</v>
      </c>
      <c r="G46" s="49">
        <v>202962081</v>
      </c>
      <c r="H46" s="41">
        <f t="shared" si="0"/>
        <v>0.99270174102184561</v>
      </c>
      <c r="I46" s="42"/>
    </row>
    <row r="47" spans="3:10">
      <c r="C47" s="38" t="s">
        <v>59</v>
      </c>
      <c r="D47" s="39">
        <v>420985</v>
      </c>
      <c r="E47" s="52" t="s">
        <v>48</v>
      </c>
      <c r="F47" s="50">
        <v>194298550</v>
      </c>
      <c r="G47" s="49">
        <v>194000000</v>
      </c>
      <c r="H47" s="41">
        <f t="shared" si="0"/>
        <v>0.9984634471024102</v>
      </c>
      <c r="I47" s="42"/>
    </row>
    <row r="48" spans="3:10">
      <c r="G48" s="46"/>
      <c r="H48" s="32"/>
    </row>
    <row r="49" spans="7:8" ht="15.75" customHeight="1">
      <c r="G49" s="46"/>
      <c r="H49" s="32"/>
    </row>
    <row r="50" spans="7:8" ht="15.75" customHeight="1">
      <c r="G50" s="46"/>
      <c r="H50" s="32"/>
    </row>
    <row r="51" spans="7:8" ht="15.75" customHeight="1">
      <c r="G51" s="46"/>
      <c r="H51" s="32"/>
    </row>
    <row r="52" spans="7:8" ht="15.75" customHeight="1">
      <c r="G52" s="46"/>
      <c r="H52" s="32"/>
    </row>
    <row r="53" spans="7:8" ht="15.75" customHeight="1">
      <c r="G53" s="46"/>
      <c r="H53" s="32"/>
    </row>
    <row r="54" spans="7:8" ht="15.75" customHeight="1">
      <c r="G54" s="46"/>
      <c r="H54" s="32"/>
    </row>
    <row r="55" spans="7:8" ht="15.75" customHeight="1">
      <c r="G55" s="46"/>
      <c r="H55" s="32"/>
    </row>
    <row r="56" spans="7:8" ht="15.75" customHeight="1">
      <c r="G56" s="46"/>
      <c r="H56" s="32"/>
    </row>
    <row r="57" spans="7:8" ht="15.75" customHeight="1">
      <c r="G57" s="46"/>
      <c r="H57" s="32"/>
    </row>
    <row r="58" spans="7:8" ht="15.75" customHeight="1">
      <c r="G58" s="46"/>
      <c r="H58" s="32"/>
    </row>
    <row r="59" spans="7:8" ht="15.75" customHeight="1">
      <c r="G59" s="46"/>
      <c r="H59" s="32"/>
    </row>
    <row r="60" spans="7:8" ht="15.75" customHeight="1">
      <c r="G60" s="46"/>
      <c r="H60" s="32"/>
    </row>
    <row r="61" spans="7:8" ht="15.75" customHeight="1">
      <c r="G61" s="46"/>
      <c r="H61" s="32"/>
    </row>
    <row r="62" spans="7:8" ht="15.75" customHeight="1">
      <c r="G62" s="46"/>
      <c r="H62" s="32"/>
    </row>
    <row r="63" spans="7:8" ht="15.75" customHeight="1">
      <c r="G63" s="46"/>
      <c r="H63" s="32"/>
    </row>
    <row r="64" spans="7:8" ht="15.75" customHeight="1">
      <c r="G64" s="46"/>
      <c r="H64" s="32"/>
    </row>
    <row r="65" spans="7:8" ht="15.75" customHeight="1">
      <c r="G65" s="46"/>
      <c r="H65" s="32"/>
    </row>
    <row r="66" spans="7:8" ht="15.75" customHeight="1">
      <c r="G66" s="46"/>
      <c r="H66" s="32"/>
    </row>
    <row r="67" spans="7:8" ht="15.75" customHeight="1">
      <c r="G67" s="46"/>
      <c r="H67" s="32"/>
    </row>
    <row r="68" spans="7:8" ht="15.75" customHeight="1">
      <c r="G68" s="46"/>
      <c r="H68" s="32"/>
    </row>
    <row r="69" spans="7:8" ht="15.75" customHeight="1">
      <c r="G69" s="46"/>
      <c r="H69" s="32"/>
    </row>
    <row r="70" spans="7:8" ht="15.75" customHeight="1">
      <c r="G70" s="46"/>
      <c r="H70" s="32"/>
    </row>
    <row r="71" spans="7:8" ht="15.75" customHeight="1">
      <c r="G71" s="46"/>
      <c r="H71" s="32"/>
    </row>
    <row r="72" spans="7:8" ht="15.75" customHeight="1">
      <c r="G72" s="46"/>
      <c r="H72" s="32"/>
    </row>
    <row r="73" spans="7:8" ht="15.75" customHeight="1">
      <c r="G73" s="46"/>
      <c r="H73" s="32"/>
    </row>
    <row r="74" spans="7:8" ht="15.75" customHeight="1">
      <c r="G74" s="46"/>
      <c r="H74" s="32"/>
    </row>
    <row r="75" spans="7:8" ht="15.75" customHeight="1">
      <c r="G75" s="46"/>
      <c r="H75" s="32"/>
    </row>
    <row r="76" spans="7:8" ht="15.75" customHeight="1">
      <c r="G76" s="46"/>
      <c r="H76" s="32"/>
    </row>
    <row r="77" spans="7:8" ht="15.75" customHeight="1">
      <c r="G77" s="46"/>
      <c r="H77" s="32"/>
    </row>
    <row r="78" spans="7:8" ht="15.75" customHeight="1">
      <c r="G78" s="46"/>
      <c r="H78" s="32"/>
    </row>
    <row r="79" spans="7:8" ht="15.75" customHeight="1">
      <c r="G79" s="46"/>
      <c r="H79" s="32"/>
    </row>
    <row r="80" spans="7:8" ht="15.75" customHeight="1">
      <c r="G80" s="46"/>
      <c r="H80" s="32"/>
    </row>
    <row r="81" spans="7:8" ht="15.75" customHeight="1">
      <c r="G81" s="46"/>
      <c r="H81" s="32"/>
    </row>
    <row r="82" spans="7:8" ht="15.75" customHeight="1">
      <c r="G82" s="46"/>
      <c r="H82" s="32"/>
    </row>
    <row r="83" spans="7:8" ht="15.75" customHeight="1">
      <c r="G83" s="46"/>
      <c r="H83" s="32"/>
    </row>
    <row r="84" spans="7:8" ht="15.75" customHeight="1">
      <c r="G84" s="46"/>
      <c r="H84" s="32"/>
    </row>
    <row r="85" spans="7:8" ht="15.75" customHeight="1">
      <c r="G85" s="46"/>
      <c r="H85" s="32"/>
    </row>
    <row r="86" spans="7:8" ht="15.75" customHeight="1">
      <c r="G86" s="46"/>
      <c r="H86" s="32"/>
    </row>
    <row r="87" spans="7:8" ht="15.75" customHeight="1">
      <c r="G87" s="46"/>
      <c r="H87" s="32"/>
    </row>
    <row r="88" spans="7:8" ht="15.75" customHeight="1">
      <c r="G88" s="46"/>
      <c r="H88" s="32"/>
    </row>
    <row r="89" spans="7:8" ht="15.75" customHeight="1">
      <c r="G89" s="46"/>
      <c r="H89" s="32"/>
    </row>
    <row r="90" spans="7:8" ht="15.75" customHeight="1">
      <c r="G90" s="46"/>
      <c r="H90" s="32"/>
    </row>
    <row r="91" spans="7:8" ht="15.75" customHeight="1">
      <c r="G91" s="46"/>
      <c r="H91" s="32"/>
    </row>
    <row r="92" spans="7:8" ht="15.75" customHeight="1">
      <c r="G92" s="46"/>
      <c r="H92" s="32"/>
    </row>
    <row r="93" spans="7:8" ht="15.75" customHeight="1">
      <c r="G93" s="46"/>
      <c r="H93" s="32"/>
    </row>
    <row r="94" spans="7:8" ht="15.75" customHeight="1">
      <c r="G94" s="46"/>
      <c r="H94" s="32"/>
    </row>
    <row r="95" spans="7:8" ht="15.75" customHeight="1">
      <c r="G95" s="46"/>
      <c r="H95" s="32"/>
    </row>
    <row r="96" spans="7:8" ht="15.75" customHeight="1">
      <c r="G96" s="46"/>
      <c r="H96" s="32"/>
    </row>
    <row r="97" spans="7:8" ht="15.75" customHeight="1">
      <c r="G97" s="46"/>
      <c r="H97" s="32"/>
    </row>
    <row r="98" spans="7:8" ht="15.75" customHeight="1">
      <c r="G98" s="46"/>
      <c r="H98" s="32"/>
    </row>
    <row r="99" spans="7:8" ht="15.75" customHeight="1">
      <c r="G99" s="46"/>
      <c r="H99" s="32"/>
    </row>
    <row r="100" spans="7:8" ht="15.75" customHeight="1">
      <c r="G100" s="46"/>
      <c r="H100" s="32"/>
    </row>
    <row r="101" spans="7:8" ht="15.75" customHeight="1">
      <c r="G101" s="46"/>
      <c r="H101" s="32"/>
    </row>
    <row r="102" spans="7:8" ht="15.75" customHeight="1">
      <c r="G102" s="46"/>
      <c r="H102" s="32"/>
    </row>
    <row r="103" spans="7:8" ht="15.75" customHeight="1">
      <c r="G103" s="46"/>
      <c r="H103" s="32"/>
    </row>
    <row r="104" spans="7:8" ht="15.75" customHeight="1">
      <c r="G104" s="46"/>
      <c r="H104" s="32"/>
    </row>
    <row r="105" spans="7:8" ht="15.75" customHeight="1">
      <c r="G105" s="46"/>
      <c r="H105" s="32"/>
    </row>
    <row r="106" spans="7:8" ht="15.75" customHeight="1">
      <c r="G106" s="46"/>
      <c r="H106" s="32"/>
    </row>
    <row r="107" spans="7:8" ht="15.75" customHeight="1">
      <c r="G107" s="46"/>
      <c r="H107" s="32"/>
    </row>
    <row r="108" spans="7:8" ht="15.75" customHeight="1">
      <c r="G108" s="46"/>
      <c r="H108" s="32"/>
    </row>
    <row r="109" spans="7:8" ht="15.75" customHeight="1">
      <c r="G109" s="46"/>
      <c r="H109" s="32"/>
    </row>
    <row r="110" spans="7:8" ht="15.75" customHeight="1">
      <c r="G110" s="46"/>
      <c r="H110" s="32"/>
    </row>
    <row r="111" spans="7:8" ht="15.75" customHeight="1">
      <c r="G111" s="46"/>
      <c r="H111" s="32"/>
    </row>
    <row r="112" spans="7:8" ht="15.75" customHeight="1">
      <c r="G112" s="46"/>
      <c r="H112" s="32"/>
    </row>
    <row r="113" spans="7:8" ht="15.75" customHeight="1">
      <c r="G113" s="46"/>
      <c r="H113" s="32"/>
    </row>
    <row r="114" spans="7:8" ht="15.75" customHeight="1">
      <c r="G114" s="46"/>
      <c r="H114" s="32"/>
    </row>
    <row r="115" spans="7:8" ht="15.75" customHeight="1">
      <c r="G115" s="46"/>
      <c r="H115" s="32"/>
    </row>
    <row r="116" spans="7:8" ht="15.75" customHeight="1">
      <c r="G116" s="46"/>
      <c r="H116" s="32"/>
    </row>
    <row r="117" spans="7:8" ht="15.75" customHeight="1">
      <c r="G117" s="46"/>
      <c r="H117" s="32"/>
    </row>
    <row r="118" spans="7:8" ht="15.75" customHeight="1">
      <c r="G118" s="46"/>
      <c r="H118" s="32"/>
    </row>
    <row r="119" spans="7:8" ht="15.75" customHeight="1">
      <c r="G119" s="46"/>
      <c r="H119" s="32"/>
    </row>
    <row r="120" spans="7:8" ht="15.75" customHeight="1">
      <c r="G120" s="46"/>
      <c r="H120" s="32"/>
    </row>
    <row r="121" spans="7:8" ht="15.75" customHeight="1">
      <c r="G121" s="46"/>
      <c r="H121" s="32"/>
    </row>
    <row r="122" spans="7:8" ht="15.75" customHeight="1">
      <c r="G122" s="46"/>
      <c r="H122" s="32"/>
    </row>
    <row r="123" spans="7:8" ht="15.75" customHeight="1">
      <c r="G123" s="46"/>
      <c r="H123" s="32"/>
    </row>
    <row r="124" spans="7:8" ht="15.75" customHeight="1">
      <c r="G124" s="46"/>
      <c r="H124" s="32"/>
    </row>
    <row r="125" spans="7:8" ht="15.75" customHeight="1">
      <c r="G125" s="46"/>
      <c r="H125" s="32"/>
    </row>
    <row r="126" spans="7:8" ht="15.75" customHeight="1">
      <c r="G126" s="46"/>
      <c r="H126" s="32"/>
    </row>
    <row r="127" spans="7:8" ht="15.75" customHeight="1">
      <c r="G127" s="46"/>
      <c r="H127" s="32"/>
    </row>
    <row r="128" spans="7:8" ht="15.75" customHeight="1">
      <c r="G128" s="46"/>
      <c r="H128" s="32"/>
    </row>
    <row r="129" spans="7:8" ht="15.75" customHeight="1">
      <c r="G129" s="46"/>
      <c r="H129" s="32"/>
    </row>
    <row r="130" spans="7:8" ht="15.75" customHeight="1">
      <c r="G130" s="46"/>
      <c r="H130" s="32"/>
    </row>
    <row r="131" spans="7:8" ht="15.75" customHeight="1">
      <c r="G131" s="46"/>
      <c r="H131" s="32"/>
    </row>
    <row r="132" spans="7:8" ht="15.75" customHeight="1">
      <c r="G132" s="46"/>
      <c r="H132" s="32"/>
    </row>
    <row r="133" spans="7:8" ht="15.75" customHeight="1">
      <c r="G133" s="46"/>
      <c r="H133" s="32"/>
    </row>
    <row r="134" spans="7:8" ht="15.75" customHeight="1">
      <c r="G134" s="46"/>
      <c r="H134" s="32"/>
    </row>
    <row r="135" spans="7:8" ht="15.75" customHeight="1">
      <c r="G135" s="46"/>
      <c r="H135" s="32"/>
    </row>
    <row r="136" spans="7:8" ht="15.75" customHeight="1">
      <c r="G136" s="46"/>
      <c r="H136" s="32"/>
    </row>
    <row r="137" spans="7:8" ht="15.75" customHeight="1">
      <c r="G137" s="46"/>
      <c r="H137" s="32"/>
    </row>
    <row r="138" spans="7:8" ht="15.75" customHeight="1">
      <c r="G138" s="46"/>
      <c r="H138" s="32"/>
    </row>
    <row r="139" spans="7:8" ht="15.75" customHeight="1">
      <c r="G139" s="46"/>
      <c r="H139" s="32"/>
    </row>
    <row r="140" spans="7:8" ht="15.75" customHeight="1">
      <c r="G140" s="46"/>
      <c r="H140" s="32"/>
    </row>
    <row r="141" spans="7:8" ht="15.75" customHeight="1">
      <c r="G141" s="46"/>
      <c r="H141" s="32"/>
    </row>
    <row r="142" spans="7:8" ht="15.75" customHeight="1">
      <c r="G142" s="46"/>
      <c r="H142" s="32"/>
    </row>
    <row r="143" spans="7:8" ht="15.75" customHeight="1">
      <c r="G143" s="46"/>
      <c r="H143" s="32"/>
    </row>
    <row r="144" spans="7:8" ht="15.75" customHeight="1">
      <c r="G144" s="46"/>
      <c r="H144" s="32"/>
    </row>
    <row r="145" spans="7:8" ht="15.75" customHeight="1">
      <c r="G145" s="46"/>
      <c r="H145" s="32"/>
    </row>
    <row r="146" spans="7:8" ht="15.75" customHeight="1">
      <c r="G146" s="46"/>
      <c r="H146" s="32"/>
    </row>
    <row r="147" spans="7:8" ht="15.75" customHeight="1">
      <c r="G147" s="46"/>
      <c r="H147" s="32"/>
    </row>
    <row r="148" spans="7:8" ht="15.75" customHeight="1">
      <c r="G148" s="46"/>
      <c r="H148" s="32"/>
    </row>
    <row r="149" spans="7:8" ht="15.75" customHeight="1">
      <c r="G149" s="46"/>
      <c r="H149" s="32"/>
    </row>
    <row r="150" spans="7:8" ht="15.75" customHeight="1">
      <c r="G150" s="46"/>
      <c r="H150" s="32"/>
    </row>
    <row r="151" spans="7:8" ht="15.75" customHeight="1">
      <c r="G151" s="46"/>
      <c r="H151" s="32"/>
    </row>
    <row r="152" spans="7:8" ht="15.75" customHeight="1">
      <c r="G152" s="46"/>
      <c r="H152" s="32"/>
    </row>
    <row r="153" spans="7:8" ht="15.75" customHeight="1">
      <c r="G153" s="46"/>
      <c r="H153" s="32"/>
    </row>
    <row r="154" spans="7:8" ht="15.75" customHeight="1">
      <c r="G154" s="46"/>
      <c r="H154" s="32"/>
    </row>
    <row r="155" spans="7:8" ht="15.75" customHeight="1">
      <c r="G155" s="46"/>
      <c r="H155" s="32"/>
    </row>
    <row r="156" spans="7:8" ht="15.75" customHeight="1">
      <c r="G156" s="46"/>
      <c r="H156" s="32"/>
    </row>
    <row r="157" spans="7:8" ht="15.75" customHeight="1">
      <c r="G157" s="46"/>
      <c r="H157" s="32"/>
    </row>
    <row r="158" spans="7:8" ht="15.75" customHeight="1">
      <c r="G158" s="46"/>
      <c r="H158" s="32"/>
    </row>
    <row r="159" spans="7:8" ht="15.75" customHeight="1">
      <c r="G159" s="46"/>
      <c r="H159" s="32"/>
    </row>
    <row r="160" spans="7:8" ht="15.75" customHeight="1">
      <c r="G160" s="46"/>
      <c r="H160" s="32"/>
    </row>
    <row r="161" spans="7:8" ht="15.75" customHeight="1">
      <c r="G161" s="46"/>
      <c r="H161" s="32"/>
    </row>
    <row r="162" spans="7:8" ht="15.75" customHeight="1">
      <c r="G162" s="46"/>
      <c r="H162" s="32"/>
    </row>
    <row r="163" spans="7:8" ht="15.75" customHeight="1">
      <c r="G163" s="46"/>
      <c r="H163" s="32"/>
    </row>
    <row r="164" spans="7:8" ht="15.75" customHeight="1">
      <c r="G164" s="46"/>
      <c r="H164" s="32"/>
    </row>
    <row r="165" spans="7:8" ht="15.75" customHeight="1">
      <c r="G165" s="46"/>
      <c r="H165" s="32"/>
    </row>
    <row r="166" spans="7:8" ht="15.75" customHeight="1">
      <c r="G166" s="46"/>
      <c r="H166" s="32"/>
    </row>
    <row r="167" spans="7:8" ht="15.75" customHeight="1">
      <c r="G167" s="46"/>
      <c r="H167" s="32"/>
    </row>
    <row r="168" spans="7:8" ht="15.75" customHeight="1">
      <c r="G168" s="46"/>
      <c r="H168" s="32"/>
    </row>
    <row r="169" spans="7:8" ht="15.75" customHeight="1">
      <c r="G169" s="46"/>
      <c r="H169" s="32"/>
    </row>
    <row r="170" spans="7:8" ht="15.75" customHeight="1">
      <c r="G170" s="46"/>
      <c r="H170" s="32"/>
    </row>
    <row r="171" spans="7:8" ht="15.75" customHeight="1">
      <c r="G171" s="46"/>
      <c r="H171" s="32"/>
    </row>
    <row r="172" spans="7:8" ht="15.75" customHeight="1">
      <c r="G172" s="46"/>
      <c r="H172" s="32"/>
    </row>
    <row r="173" spans="7:8" ht="15.75" customHeight="1">
      <c r="G173" s="46"/>
      <c r="H173" s="32"/>
    </row>
    <row r="174" spans="7:8" ht="15.75" customHeight="1">
      <c r="G174" s="46"/>
      <c r="H174" s="32"/>
    </row>
    <row r="175" spans="7:8" ht="15.75" customHeight="1">
      <c r="G175" s="46"/>
      <c r="H175" s="32"/>
    </row>
    <row r="176" spans="7:8" ht="15.75" customHeight="1">
      <c r="G176" s="46"/>
      <c r="H176" s="32"/>
    </row>
    <row r="177" spans="7:8" ht="15.75" customHeight="1">
      <c r="G177" s="46"/>
      <c r="H177" s="32"/>
    </row>
    <row r="178" spans="7:8" ht="15.75" customHeight="1">
      <c r="G178" s="46"/>
      <c r="H178" s="32"/>
    </row>
    <row r="179" spans="7:8" ht="15.75" customHeight="1">
      <c r="G179" s="46"/>
      <c r="H179" s="32"/>
    </row>
    <row r="180" spans="7:8" ht="15.75" customHeight="1">
      <c r="G180" s="46"/>
      <c r="H180" s="32"/>
    </row>
    <row r="181" spans="7:8" ht="15.75" customHeight="1">
      <c r="G181" s="46"/>
      <c r="H181" s="32"/>
    </row>
    <row r="182" spans="7:8" ht="15.75" customHeight="1">
      <c r="G182" s="46"/>
      <c r="H182" s="32"/>
    </row>
    <row r="183" spans="7:8" ht="15.75" customHeight="1">
      <c r="G183" s="46"/>
      <c r="H183" s="32"/>
    </row>
    <row r="184" spans="7:8" ht="15.75" customHeight="1">
      <c r="G184" s="46"/>
      <c r="H184" s="32"/>
    </row>
    <row r="185" spans="7:8" ht="15.75" customHeight="1">
      <c r="G185" s="46"/>
      <c r="H185" s="32"/>
    </row>
    <row r="186" spans="7:8" ht="15.75" customHeight="1">
      <c r="G186" s="46"/>
      <c r="H186" s="32"/>
    </row>
    <row r="187" spans="7:8" ht="15.75" customHeight="1">
      <c r="G187" s="46"/>
      <c r="H187" s="32"/>
    </row>
    <row r="188" spans="7:8" ht="15.75" customHeight="1">
      <c r="G188" s="46"/>
      <c r="H188" s="32"/>
    </row>
    <row r="189" spans="7:8" ht="15.75" customHeight="1">
      <c r="G189" s="46"/>
      <c r="H189" s="32"/>
    </row>
    <row r="190" spans="7:8" ht="15.75" customHeight="1">
      <c r="G190" s="46"/>
      <c r="H190" s="32"/>
    </row>
    <row r="191" spans="7:8" ht="15.75" customHeight="1">
      <c r="G191" s="46"/>
      <c r="H191" s="32"/>
    </row>
    <row r="192" spans="7:8" ht="15.75" customHeight="1">
      <c r="G192" s="46"/>
      <c r="H192" s="32"/>
    </row>
    <row r="193" spans="7:8" ht="15.75" customHeight="1">
      <c r="G193" s="46"/>
      <c r="H193" s="32"/>
    </row>
    <row r="194" spans="7:8" ht="15.75" customHeight="1">
      <c r="G194" s="46"/>
      <c r="H194" s="32"/>
    </row>
    <row r="195" spans="7:8" ht="15.75" customHeight="1">
      <c r="G195" s="46"/>
      <c r="H195" s="32"/>
    </row>
    <row r="196" spans="7:8" ht="15.75" customHeight="1">
      <c r="G196" s="46"/>
      <c r="H196" s="32"/>
    </row>
    <row r="197" spans="7:8" ht="15.75" customHeight="1">
      <c r="G197" s="46"/>
      <c r="H197" s="32"/>
    </row>
    <row r="198" spans="7:8" ht="15.75" customHeight="1">
      <c r="G198" s="46"/>
      <c r="H198" s="32"/>
    </row>
    <row r="199" spans="7:8" ht="15.75" customHeight="1">
      <c r="G199" s="46"/>
      <c r="H199" s="32"/>
    </row>
    <row r="200" spans="7:8" ht="15.75" customHeight="1">
      <c r="G200" s="46"/>
      <c r="H200" s="32"/>
    </row>
    <row r="201" spans="7:8" ht="15.75" customHeight="1">
      <c r="G201" s="46"/>
      <c r="H201" s="32"/>
    </row>
    <row r="202" spans="7:8" ht="15.75" customHeight="1">
      <c r="G202" s="46"/>
      <c r="H202" s="32"/>
    </row>
    <row r="203" spans="7:8" ht="15.75" customHeight="1">
      <c r="G203" s="46"/>
      <c r="H203" s="32"/>
    </row>
    <row r="204" spans="7:8" ht="15.75" customHeight="1">
      <c r="G204" s="46"/>
      <c r="H204" s="32"/>
    </row>
    <row r="205" spans="7:8" ht="15.75" customHeight="1">
      <c r="G205" s="46"/>
      <c r="H205" s="32"/>
    </row>
    <row r="206" spans="7:8" ht="15.75" customHeight="1">
      <c r="G206" s="46"/>
      <c r="H206" s="32"/>
    </row>
    <row r="207" spans="7:8" ht="15.75" customHeight="1">
      <c r="G207" s="46"/>
      <c r="H207" s="32"/>
    </row>
    <row r="208" spans="7:8" ht="15.75" customHeight="1">
      <c r="G208" s="46"/>
      <c r="H208" s="32"/>
    </row>
    <row r="209" spans="7:8" ht="15.75" customHeight="1">
      <c r="G209" s="46"/>
      <c r="H209" s="32"/>
    </row>
    <row r="210" spans="7:8" ht="15.75" customHeight="1">
      <c r="G210" s="46"/>
      <c r="H210" s="32"/>
    </row>
    <row r="211" spans="7:8" ht="15.75" customHeight="1">
      <c r="G211" s="46"/>
      <c r="H211" s="32"/>
    </row>
    <row r="212" spans="7:8" ht="15.75" customHeight="1">
      <c r="G212" s="46"/>
      <c r="H212" s="32"/>
    </row>
    <row r="213" spans="7:8" ht="15.75" customHeight="1">
      <c r="G213" s="46"/>
      <c r="H213" s="32"/>
    </row>
    <row r="214" spans="7:8" ht="15.75" customHeight="1">
      <c r="G214" s="46"/>
      <c r="H214" s="32"/>
    </row>
    <row r="215" spans="7:8" ht="15.75" customHeight="1">
      <c r="G215" s="46"/>
      <c r="H215" s="32"/>
    </row>
    <row r="216" spans="7:8" ht="15.75" customHeight="1">
      <c r="G216" s="46"/>
      <c r="H216" s="32"/>
    </row>
    <row r="217" spans="7:8" ht="15.75" customHeight="1">
      <c r="G217" s="46"/>
      <c r="H217" s="32"/>
    </row>
    <row r="218" spans="7:8" ht="15.75" customHeight="1">
      <c r="G218" s="46"/>
      <c r="H218" s="32"/>
    </row>
    <row r="219" spans="7:8" ht="15.75" customHeight="1">
      <c r="G219" s="46"/>
      <c r="H219" s="32"/>
    </row>
    <row r="220" spans="7:8" ht="15.75" customHeight="1">
      <c r="G220" s="46"/>
      <c r="H220" s="32"/>
    </row>
    <row r="221" spans="7:8" ht="15.75" customHeight="1">
      <c r="G221" s="46"/>
      <c r="H221" s="32"/>
    </row>
    <row r="222" spans="7:8" ht="15.75" customHeight="1">
      <c r="G222" s="46"/>
      <c r="H222" s="32"/>
    </row>
    <row r="223" spans="7:8" ht="15.75" customHeight="1">
      <c r="G223" s="46"/>
      <c r="H223" s="32"/>
    </row>
    <row r="224" spans="7:8" ht="15.75" customHeight="1">
      <c r="G224" s="46"/>
      <c r="H224" s="32"/>
    </row>
    <row r="225" spans="7:8" ht="15.75" customHeight="1">
      <c r="G225" s="46"/>
      <c r="H225" s="32"/>
    </row>
    <row r="226" spans="7:8" ht="15.75" customHeight="1">
      <c r="G226" s="46"/>
      <c r="H226" s="32"/>
    </row>
    <row r="227" spans="7:8" ht="15.75" customHeight="1">
      <c r="G227" s="46"/>
      <c r="H227" s="32"/>
    </row>
    <row r="228" spans="7:8" ht="15.75" customHeight="1">
      <c r="G228" s="46"/>
      <c r="H228" s="32"/>
    </row>
    <row r="229" spans="7:8" ht="15.75" customHeight="1">
      <c r="G229" s="46"/>
      <c r="H229" s="32"/>
    </row>
    <row r="230" spans="7:8" ht="15.75" customHeight="1">
      <c r="G230" s="46"/>
      <c r="H230" s="32"/>
    </row>
    <row r="231" spans="7:8" ht="15.75" customHeight="1">
      <c r="G231" s="46"/>
      <c r="H231" s="32"/>
    </row>
    <row r="232" spans="7:8" ht="15.75" customHeight="1">
      <c r="G232" s="46"/>
      <c r="H232" s="32"/>
    </row>
    <row r="233" spans="7:8" ht="15.75" customHeight="1">
      <c r="G233" s="46"/>
      <c r="H233" s="32"/>
    </row>
    <row r="234" spans="7:8" ht="15.75" customHeight="1">
      <c r="G234" s="46"/>
      <c r="H234" s="32"/>
    </row>
    <row r="235" spans="7:8" ht="15.75" customHeight="1">
      <c r="G235" s="46"/>
      <c r="H235" s="32"/>
    </row>
    <row r="236" spans="7:8" ht="15.75" customHeight="1">
      <c r="G236" s="46"/>
      <c r="H236" s="32"/>
    </row>
    <row r="237" spans="7:8" ht="15.75" customHeight="1">
      <c r="G237" s="46"/>
      <c r="H237" s="32"/>
    </row>
    <row r="238" spans="7:8" ht="15.75" customHeight="1">
      <c r="G238" s="46"/>
      <c r="H238" s="32"/>
    </row>
    <row r="239" spans="7:8" ht="15.75" customHeight="1">
      <c r="G239" s="46"/>
      <c r="H239" s="32"/>
    </row>
    <row r="240" spans="7:8" ht="15.75" customHeight="1">
      <c r="G240" s="46"/>
      <c r="H240" s="32"/>
    </row>
    <row r="241" spans="7:8" ht="15.75" customHeight="1">
      <c r="G241" s="46"/>
      <c r="H241" s="32"/>
    </row>
    <row r="242" spans="7:8" ht="15.75" customHeight="1">
      <c r="G242" s="46"/>
      <c r="H242" s="32"/>
    </row>
    <row r="243" spans="7:8" ht="15.75" customHeight="1">
      <c r="G243" s="46"/>
      <c r="H243" s="32"/>
    </row>
    <row r="244" spans="7:8" ht="15.75" customHeight="1">
      <c r="G244" s="46"/>
      <c r="H244" s="32"/>
    </row>
    <row r="245" spans="7:8" ht="15.75" customHeight="1">
      <c r="G245" s="46"/>
      <c r="H245" s="32"/>
    </row>
    <row r="246" spans="7:8" ht="15.75" customHeight="1">
      <c r="G246" s="46"/>
      <c r="H246" s="32"/>
    </row>
    <row r="247" spans="7:8" ht="15.75" customHeight="1">
      <c r="G247" s="46"/>
      <c r="H247" s="32"/>
    </row>
    <row r="248" spans="7:8" ht="15.75" customHeight="1">
      <c r="G248" s="46"/>
      <c r="H248" s="32"/>
    </row>
    <row r="249" spans="7:8" ht="15.75" customHeight="1">
      <c r="G249" s="46"/>
      <c r="H249" s="32"/>
    </row>
    <row r="250" spans="7:8" ht="15.75" customHeight="1">
      <c r="G250" s="46"/>
      <c r="H250" s="32"/>
    </row>
    <row r="251" spans="7:8" ht="15.75" customHeight="1">
      <c r="G251" s="46"/>
      <c r="H251" s="32"/>
    </row>
    <row r="252" spans="7:8" ht="15.75" customHeight="1">
      <c r="G252" s="46"/>
      <c r="H252" s="32"/>
    </row>
    <row r="253" spans="7:8" ht="15.75" customHeight="1">
      <c r="G253" s="46"/>
      <c r="H253" s="32"/>
    </row>
    <row r="254" spans="7:8" ht="15.75" customHeight="1">
      <c r="G254" s="46"/>
      <c r="H254" s="32"/>
    </row>
    <row r="255" spans="7:8" ht="15.75" customHeight="1">
      <c r="G255" s="46"/>
      <c r="H255" s="32"/>
    </row>
    <row r="256" spans="7:8" ht="15.75" customHeight="1">
      <c r="G256" s="46"/>
      <c r="H256" s="32"/>
    </row>
    <row r="257" spans="7:8" ht="15.75" customHeight="1">
      <c r="G257" s="46"/>
      <c r="H257" s="32"/>
    </row>
    <row r="258" spans="7:8" ht="15.75" customHeight="1">
      <c r="G258" s="46"/>
      <c r="H258" s="32"/>
    </row>
    <row r="259" spans="7:8" ht="15.75" customHeight="1">
      <c r="G259" s="46"/>
      <c r="H259" s="32"/>
    </row>
    <row r="260" spans="7:8" ht="15.75" customHeight="1">
      <c r="G260" s="46"/>
      <c r="H260" s="32"/>
    </row>
    <row r="261" spans="7:8" ht="15.75" customHeight="1">
      <c r="G261" s="46"/>
      <c r="H261" s="32"/>
    </row>
    <row r="262" spans="7:8" ht="15.75" customHeight="1">
      <c r="G262" s="46"/>
      <c r="H262" s="32"/>
    </row>
    <row r="263" spans="7:8" ht="15.75" customHeight="1">
      <c r="G263" s="46"/>
      <c r="H263" s="32"/>
    </row>
    <row r="264" spans="7:8" ht="15.75" customHeight="1">
      <c r="G264" s="46"/>
      <c r="H264" s="32"/>
    </row>
    <row r="265" spans="7:8" ht="15.75" customHeight="1">
      <c r="G265" s="46"/>
      <c r="H265" s="32"/>
    </row>
    <row r="266" spans="7:8" ht="15.75" customHeight="1">
      <c r="G266" s="46"/>
      <c r="H266" s="32"/>
    </row>
    <row r="267" spans="7:8" ht="15.75" customHeight="1">
      <c r="G267" s="46"/>
      <c r="H267" s="32"/>
    </row>
    <row r="268" spans="7:8" ht="15.75" customHeight="1">
      <c r="G268" s="46"/>
      <c r="H268" s="32"/>
    </row>
    <row r="269" spans="7:8" ht="15.75" customHeight="1">
      <c r="G269" s="46"/>
      <c r="H269" s="32"/>
    </row>
    <row r="270" spans="7:8" ht="15.75" customHeight="1">
      <c r="G270" s="46"/>
      <c r="H270" s="32"/>
    </row>
    <row r="271" spans="7:8" ht="15.75" customHeight="1">
      <c r="G271" s="46"/>
      <c r="H271" s="32"/>
    </row>
    <row r="272" spans="7:8" ht="15.75" customHeight="1">
      <c r="G272" s="46"/>
      <c r="H272" s="32"/>
    </row>
    <row r="273" spans="7:8" ht="15.75" customHeight="1">
      <c r="G273" s="46"/>
      <c r="H273" s="32"/>
    </row>
    <row r="274" spans="7:8" ht="15.75" customHeight="1">
      <c r="G274" s="46"/>
      <c r="H274" s="32"/>
    </row>
    <row r="275" spans="7:8" ht="15.75" customHeight="1">
      <c r="G275" s="46"/>
      <c r="H275" s="32"/>
    </row>
    <row r="276" spans="7:8" ht="15.75" customHeight="1">
      <c r="G276" s="46"/>
      <c r="H276" s="32"/>
    </row>
    <row r="277" spans="7:8" ht="15.75" customHeight="1">
      <c r="G277" s="46"/>
      <c r="H277" s="32"/>
    </row>
    <row r="278" spans="7:8" ht="15.75" customHeight="1">
      <c r="G278" s="46"/>
      <c r="H278" s="32"/>
    </row>
    <row r="279" spans="7:8" ht="15.75" customHeight="1">
      <c r="G279" s="46"/>
      <c r="H279" s="32"/>
    </row>
    <row r="280" spans="7:8" ht="15.75" customHeight="1">
      <c r="G280" s="46"/>
      <c r="H280" s="32"/>
    </row>
    <row r="281" spans="7:8" ht="15.75" customHeight="1">
      <c r="G281" s="46"/>
      <c r="H281" s="32"/>
    </row>
    <row r="282" spans="7:8" ht="15.75" customHeight="1">
      <c r="G282" s="46"/>
      <c r="H282" s="32"/>
    </row>
    <row r="283" spans="7:8" ht="15.75" customHeight="1">
      <c r="G283" s="46"/>
      <c r="H283" s="32"/>
    </row>
    <row r="284" spans="7:8" ht="15.75" customHeight="1">
      <c r="G284" s="46"/>
      <c r="H284" s="32"/>
    </row>
    <row r="285" spans="7:8" ht="15.75" customHeight="1">
      <c r="G285" s="46"/>
      <c r="H285" s="32"/>
    </row>
    <row r="286" spans="7:8" ht="15.75" customHeight="1">
      <c r="G286" s="46"/>
      <c r="H286" s="32"/>
    </row>
    <row r="287" spans="7:8" ht="15.75" customHeight="1">
      <c r="G287" s="46"/>
      <c r="H287" s="32"/>
    </row>
    <row r="288" spans="7:8" ht="15.75" customHeight="1">
      <c r="G288" s="46"/>
      <c r="H288" s="32"/>
    </row>
    <row r="289" spans="7:8" ht="15.75" customHeight="1">
      <c r="G289" s="46"/>
      <c r="H289" s="32"/>
    </row>
    <row r="290" spans="7:8" ht="15.75" customHeight="1">
      <c r="G290" s="46"/>
      <c r="H290" s="32"/>
    </row>
    <row r="291" spans="7:8" ht="15.75" customHeight="1">
      <c r="G291" s="46"/>
      <c r="H291" s="32"/>
    </row>
    <row r="292" spans="7:8" ht="15.75" customHeight="1">
      <c r="G292" s="46"/>
      <c r="H292" s="32"/>
    </row>
    <row r="293" spans="7:8" ht="15.75" customHeight="1">
      <c r="G293" s="46"/>
      <c r="H293" s="32"/>
    </row>
    <row r="294" spans="7:8" ht="15.75" customHeight="1">
      <c r="G294" s="46"/>
      <c r="H294" s="32"/>
    </row>
    <row r="295" spans="7:8" ht="15.75" customHeight="1">
      <c r="G295" s="46"/>
      <c r="H295" s="32"/>
    </row>
    <row r="296" spans="7:8" ht="15.75" customHeight="1">
      <c r="G296" s="46"/>
      <c r="H296" s="32"/>
    </row>
    <row r="297" spans="7:8" ht="15.75" customHeight="1">
      <c r="G297" s="46"/>
      <c r="H297" s="32"/>
    </row>
    <row r="298" spans="7:8" ht="15.75" customHeight="1">
      <c r="G298" s="46"/>
      <c r="H298" s="32"/>
    </row>
    <row r="299" spans="7:8" ht="15.75" customHeight="1">
      <c r="G299" s="46"/>
      <c r="H299" s="32"/>
    </row>
    <row r="300" spans="7:8" ht="15.75" customHeight="1">
      <c r="G300" s="46"/>
      <c r="H300" s="32"/>
    </row>
    <row r="301" spans="7:8" ht="15.75" customHeight="1">
      <c r="G301" s="46"/>
      <c r="H301" s="32"/>
    </row>
    <row r="302" spans="7:8" ht="15.75" customHeight="1">
      <c r="G302" s="46"/>
      <c r="H302" s="32"/>
    </row>
    <row r="303" spans="7:8" ht="15.75" customHeight="1">
      <c r="G303" s="46"/>
      <c r="H303" s="32"/>
    </row>
    <row r="304" spans="7:8" ht="15.75" customHeight="1">
      <c r="G304" s="46"/>
      <c r="H304" s="32"/>
    </row>
    <row r="305" spans="7:8" ht="15.75" customHeight="1">
      <c r="G305" s="46"/>
      <c r="H305" s="32"/>
    </row>
    <row r="306" spans="7:8" ht="15.75" customHeight="1">
      <c r="G306" s="46"/>
      <c r="H306" s="32"/>
    </row>
    <row r="307" spans="7:8" ht="15.75" customHeight="1">
      <c r="G307" s="46"/>
      <c r="H307" s="32"/>
    </row>
    <row r="308" spans="7:8" ht="15.75" customHeight="1">
      <c r="G308" s="46"/>
      <c r="H308" s="32"/>
    </row>
    <row r="309" spans="7:8" ht="15.75" customHeight="1">
      <c r="G309" s="46"/>
      <c r="H309" s="32"/>
    </row>
    <row r="310" spans="7:8" ht="15.75" customHeight="1">
      <c r="G310" s="46"/>
      <c r="H310" s="32"/>
    </row>
    <row r="311" spans="7:8" ht="15.75" customHeight="1">
      <c r="G311" s="46"/>
      <c r="H311" s="32"/>
    </row>
    <row r="312" spans="7:8" ht="15.75" customHeight="1">
      <c r="G312" s="46"/>
      <c r="H312" s="32"/>
    </row>
    <row r="313" spans="7:8" ht="15.75" customHeight="1">
      <c r="G313" s="46"/>
      <c r="H313" s="32"/>
    </row>
    <row r="314" spans="7:8" ht="15.75" customHeight="1">
      <c r="G314" s="46"/>
      <c r="H314" s="32"/>
    </row>
    <row r="315" spans="7:8" ht="15.75" customHeight="1">
      <c r="G315" s="46"/>
      <c r="H315" s="32"/>
    </row>
    <row r="316" spans="7:8" ht="15.75" customHeight="1">
      <c r="G316" s="46"/>
      <c r="H316" s="32"/>
    </row>
    <row r="317" spans="7:8" ht="15.75" customHeight="1">
      <c r="G317" s="46"/>
      <c r="H317" s="32"/>
    </row>
    <row r="318" spans="7:8" ht="15.75" customHeight="1">
      <c r="G318" s="46"/>
      <c r="H318" s="32"/>
    </row>
    <row r="319" spans="7:8" ht="15.75" customHeight="1">
      <c r="G319" s="46"/>
      <c r="H319" s="32"/>
    </row>
    <row r="320" spans="7:8" ht="15.75" customHeight="1">
      <c r="G320" s="46"/>
      <c r="H320" s="32"/>
    </row>
    <row r="321" spans="7:8" ht="15.75" customHeight="1">
      <c r="G321" s="46"/>
      <c r="H321" s="32"/>
    </row>
    <row r="322" spans="7:8" ht="15.75" customHeight="1">
      <c r="G322" s="46"/>
      <c r="H322" s="32"/>
    </row>
    <row r="323" spans="7:8" ht="15.75" customHeight="1">
      <c r="G323" s="46"/>
      <c r="H323" s="32"/>
    </row>
    <row r="324" spans="7:8" ht="15.75" customHeight="1">
      <c r="G324" s="46"/>
      <c r="H324" s="32"/>
    </row>
    <row r="325" spans="7:8" ht="15.75" customHeight="1">
      <c r="G325" s="46"/>
      <c r="H325" s="32"/>
    </row>
    <row r="326" spans="7:8" ht="15.75" customHeight="1">
      <c r="G326" s="46"/>
      <c r="H326" s="32"/>
    </row>
    <row r="327" spans="7:8" ht="15.75" customHeight="1">
      <c r="G327" s="46"/>
      <c r="H327" s="32"/>
    </row>
    <row r="328" spans="7:8" ht="15.75" customHeight="1">
      <c r="G328" s="46"/>
      <c r="H328" s="32"/>
    </row>
    <row r="329" spans="7:8" ht="15.75" customHeight="1">
      <c r="G329" s="46"/>
      <c r="H329" s="32"/>
    </row>
    <row r="330" spans="7:8" ht="15.75" customHeight="1">
      <c r="G330" s="46"/>
      <c r="H330" s="32"/>
    </row>
    <row r="331" spans="7:8" ht="15.75" customHeight="1">
      <c r="G331" s="46"/>
      <c r="H331" s="32"/>
    </row>
    <row r="332" spans="7:8" ht="15.75" customHeight="1">
      <c r="G332" s="46"/>
      <c r="H332" s="32"/>
    </row>
    <row r="333" spans="7:8" ht="15.75" customHeight="1">
      <c r="G333" s="46"/>
      <c r="H333" s="32"/>
    </row>
    <row r="334" spans="7:8" ht="15.75" customHeight="1">
      <c r="G334" s="46"/>
      <c r="H334" s="32"/>
    </row>
    <row r="335" spans="7:8" ht="15.75" customHeight="1">
      <c r="G335" s="46"/>
      <c r="H335" s="32"/>
    </row>
    <row r="336" spans="7:8" ht="15.75" customHeight="1">
      <c r="G336" s="46"/>
      <c r="H336" s="32"/>
    </row>
    <row r="337" spans="7:8" ht="15.75" customHeight="1">
      <c r="G337" s="46"/>
      <c r="H337" s="32"/>
    </row>
    <row r="338" spans="7:8" ht="15.75" customHeight="1">
      <c r="G338" s="46"/>
      <c r="H338" s="32"/>
    </row>
    <row r="339" spans="7:8" ht="15.75" customHeight="1">
      <c r="G339" s="46"/>
      <c r="H339" s="32"/>
    </row>
    <row r="340" spans="7:8" ht="15.75" customHeight="1">
      <c r="G340" s="46"/>
      <c r="H340" s="32"/>
    </row>
    <row r="341" spans="7:8" ht="15.75" customHeight="1">
      <c r="G341" s="46"/>
      <c r="H341" s="32"/>
    </row>
    <row r="342" spans="7:8" ht="15.75" customHeight="1">
      <c r="G342" s="46"/>
      <c r="H342" s="32"/>
    </row>
    <row r="343" spans="7:8" ht="15.75" customHeight="1">
      <c r="G343" s="46"/>
      <c r="H343" s="32"/>
    </row>
    <row r="344" spans="7:8" ht="15.75" customHeight="1">
      <c r="G344" s="46"/>
      <c r="H344" s="32"/>
    </row>
    <row r="345" spans="7:8" ht="15.75" customHeight="1">
      <c r="G345" s="46"/>
      <c r="H345" s="32"/>
    </row>
    <row r="346" spans="7:8" ht="15.75" customHeight="1">
      <c r="G346" s="46"/>
      <c r="H346" s="32"/>
    </row>
    <row r="347" spans="7:8" ht="15.75" customHeight="1">
      <c r="G347" s="46"/>
      <c r="H347" s="32"/>
    </row>
    <row r="348" spans="7:8" ht="15.75" customHeight="1">
      <c r="G348" s="46"/>
      <c r="H348" s="32"/>
    </row>
    <row r="349" spans="7:8" ht="15.75" customHeight="1">
      <c r="G349" s="46"/>
      <c r="H349" s="32"/>
    </row>
    <row r="350" spans="7:8" ht="15.75" customHeight="1">
      <c r="G350" s="46"/>
      <c r="H350" s="32"/>
    </row>
    <row r="351" spans="7:8" ht="15.75" customHeight="1">
      <c r="G351" s="46"/>
      <c r="H351" s="32"/>
    </row>
    <row r="352" spans="7:8" ht="15.75" customHeight="1">
      <c r="G352" s="46"/>
      <c r="H352" s="32"/>
    </row>
    <row r="353" spans="7:8" ht="15.75" customHeight="1">
      <c r="G353" s="46"/>
      <c r="H353" s="32"/>
    </row>
    <row r="354" spans="7:8" ht="15.75" customHeight="1">
      <c r="G354" s="46"/>
      <c r="H354" s="32"/>
    </row>
    <row r="355" spans="7:8" ht="15.75" customHeight="1">
      <c r="G355" s="46"/>
      <c r="H355" s="32"/>
    </row>
    <row r="356" spans="7:8" ht="15.75" customHeight="1">
      <c r="G356" s="46"/>
      <c r="H356" s="32"/>
    </row>
    <row r="357" spans="7:8" ht="15.75" customHeight="1">
      <c r="G357" s="46"/>
      <c r="H357" s="32"/>
    </row>
    <row r="358" spans="7:8" ht="15.75" customHeight="1">
      <c r="G358" s="46"/>
      <c r="H358" s="32"/>
    </row>
    <row r="359" spans="7:8" ht="15.75" customHeight="1">
      <c r="G359" s="46"/>
      <c r="H359" s="32"/>
    </row>
    <row r="360" spans="7:8" ht="15.75" customHeight="1">
      <c r="G360" s="46"/>
      <c r="H360" s="32"/>
    </row>
    <row r="361" spans="7:8" ht="15.75" customHeight="1">
      <c r="G361" s="46"/>
      <c r="H361" s="32"/>
    </row>
    <row r="362" spans="7:8" ht="15.75" customHeight="1">
      <c r="G362" s="46"/>
      <c r="H362" s="32"/>
    </row>
    <row r="363" spans="7:8" ht="15.75" customHeight="1">
      <c r="G363" s="46"/>
      <c r="H363" s="32"/>
    </row>
    <row r="364" spans="7:8" ht="15.75" customHeight="1">
      <c r="G364" s="46"/>
      <c r="H364" s="32"/>
    </row>
    <row r="365" spans="7:8" ht="15.75" customHeight="1">
      <c r="G365" s="46"/>
      <c r="H365" s="32"/>
    </row>
    <row r="366" spans="7:8" ht="15.75" customHeight="1">
      <c r="G366" s="46"/>
      <c r="H366" s="32"/>
    </row>
    <row r="367" spans="7:8" ht="15.75" customHeight="1">
      <c r="G367" s="46"/>
      <c r="H367" s="32"/>
    </row>
    <row r="368" spans="7:8" ht="15.75" customHeight="1">
      <c r="G368" s="46"/>
      <c r="H368" s="32"/>
    </row>
    <row r="369" spans="7:8" ht="15.75" customHeight="1">
      <c r="G369" s="46"/>
      <c r="H369" s="32"/>
    </row>
    <row r="370" spans="7:8" ht="15.75" customHeight="1">
      <c r="G370" s="46"/>
      <c r="H370" s="32"/>
    </row>
    <row r="371" spans="7:8" ht="15.75" customHeight="1">
      <c r="G371" s="46"/>
      <c r="H371" s="32"/>
    </row>
    <row r="372" spans="7:8" ht="15.75" customHeight="1">
      <c r="G372" s="46"/>
      <c r="H372" s="32"/>
    </row>
    <row r="373" spans="7:8" ht="15.75" customHeight="1">
      <c r="G373" s="46"/>
      <c r="H373" s="32"/>
    </row>
    <row r="374" spans="7:8" ht="15.75" customHeight="1">
      <c r="G374" s="46"/>
      <c r="H374" s="32"/>
    </row>
    <row r="375" spans="7:8" ht="15.75" customHeight="1">
      <c r="G375" s="46"/>
      <c r="H375" s="32"/>
    </row>
    <row r="376" spans="7:8" ht="15.75" customHeight="1">
      <c r="G376" s="46"/>
      <c r="H376" s="32"/>
    </row>
    <row r="377" spans="7:8" ht="15.75" customHeight="1">
      <c r="G377" s="46"/>
      <c r="H377" s="32"/>
    </row>
    <row r="378" spans="7:8" ht="15.75" customHeight="1">
      <c r="G378" s="46"/>
      <c r="H378" s="32"/>
    </row>
    <row r="379" spans="7:8" ht="15.75" customHeight="1">
      <c r="G379" s="46"/>
      <c r="H379" s="32"/>
    </row>
    <row r="380" spans="7:8" ht="15.75" customHeight="1">
      <c r="G380" s="46"/>
      <c r="H380" s="32"/>
    </row>
    <row r="381" spans="7:8" ht="15.75" customHeight="1">
      <c r="G381" s="46"/>
      <c r="H381" s="32"/>
    </row>
    <row r="382" spans="7:8" ht="15.75" customHeight="1">
      <c r="G382" s="46"/>
      <c r="H382" s="32"/>
    </row>
    <row r="383" spans="7:8" ht="15.75" customHeight="1">
      <c r="G383" s="46"/>
      <c r="H383" s="32"/>
    </row>
    <row r="384" spans="7:8" ht="15.75" customHeight="1">
      <c r="G384" s="46"/>
      <c r="H384" s="32"/>
    </row>
    <row r="385" spans="7:8" ht="15.75" customHeight="1">
      <c r="G385" s="46"/>
      <c r="H385" s="32"/>
    </row>
    <row r="386" spans="7:8" ht="15.75" customHeight="1">
      <c r="G386" s="46"/>
      <c r="H386" s="32"/>
    </row>
    <row r="387" spans="7:8" ht="15.75" customHeight="1">
      <c r="G387" s="46"/>
      <c r="H387" s="32"/>
    </row>
    <row r="388" spans="7:8" ht="15.75" customHeight="1">
      <c r="G388" s="46"/>
      <c r="H388" s="32"/>
    </row>
    <row r="389" spans="7:8" ht="15.75" customHeight="1">
      <c r="G389" s="46"/>
      <c r="H389" s="32"/>
    </row>
    <row r="390" spans="7:8" ht="15.75" customHeight="1">
      <c r="G390" s="46"/>
      <c r="H390" s="32"/>
    </row>
    <row r="391" spans="7:8" ht="15.75" customHeight="1">
      <c r="G391" s="46"/>
      <c r="H391" s="32"/>
    </row>
    <row r="392" spans="7:8" ht="15.75" customHeight="1">
      <c r="G392" s="46"/>
      <c r="H392" s="32"/>
    </row>
    <row r="393" spans="7:8" ht="15.75" customHeight="1">
      <c r="G393" s="46"/>
      <c r="H393" s="32"/>
    </row>
    <row r="394" spans="7:8" ht="15.75" customHeight="1">
      <c r="G394" s="46"/>
      <c r="H394" s="32"/>
    </row>
    <row r="395" spans="7:8" ht="15.75" customHeight="1">
      <c r="G395" s="46"/>
      <c r="H395" s="32"/>
    </row>
    <row r="396" spans="7:8" ht="15.75" customHeight="1">
      <c r="G396" s="46"/>
      <c r="H396" s="32"/>
    </row>
    <row r="397" spans="7:8" ht="15.75" customHeight="1">
      <c r="G397" s="46"/>
      <c r="H397" s="32"/>
    </row>
    <row r="398" spans="7:8" ht="15.75" customHeight="1">
      <c r="G398" s="46"/>
      <c r="H398" s="32"/>
    </row>
    <row r="399" spans="7:8" ht="15.75" customHeight="1">
      <c r="G399" s="46"/>
      <c r="H399" s="32"/>
    </row>
    <row r="400" spans="7:8" ht="15.75" customHeight="1">
      <c r="G400" s="46"/>
      <c r="H400" s="32"/>
    </row>
    <row r="401" spans="7:8" ht="15.75" customHeight="1">
      <c r="G401" s="46"/>
      <c r="H401" s="32"/>
    </row>
    <row r="402" spans="7:8" ht="15.75" customHeight="1">
      <c r="G402" s="46"/>
      <c r="H402" s="32"/>
    </row>
    <row r="403" spans="7:8" ht="15.75" customHeight="1">
      <c r="G403" s="46"/>
      <c r="H403" s="32"/>
    </row>
    <row r="404" spans="7:8" ht="15.75" customHeight="1">
      <c r="G404" s="46"/>
      <c r="H404" s="32"/>
    </row>
    <row r="405" spans="7:8" ht="15.75" customHeight="1">
      <c r="G405" s="46"/>
      <c r="H405" s="32"/>
    </row>
    <row r="406" spans="7:8" ht="15.75" customHeight="1">
      <c r="G406" s="46"/>
      <c r="H406" s="32"/>
    </row>
    <row r="407" spans="7:8" ht="15.75" customHeight="1">
      <c r="G407" s="46"/>
      <c r="H407" s="32"/>
    </row>
    <row r="408" spans="7:8" ht="15.75" customHeight="1">
      <c r="G408" s="46"/>
      <c r="H408" s="32"/>
    </row>
    <row r="409" spans="7:8" ht="15.75" customHeight="1">
      <c r="G409" s="46"/>
      <c r="H409" s="32"/>
    </row>
    <row r="410" spans="7:8" ht="15.75" customHeight="1">
      <c r="G410" s="46"/>
      <c r="H410" s="32"/>
    </row>
    <row r="411" spans="7:8" ht="15.75" customHeight="1">
      <c r="G411" s="46"/>
      <c r="H411" s="32"/>
    </row>
    <row r="412" spans="7:8" ht="15.75" customHeight="1">
      <c r="G412" s="46"/>
      <c r="H412" s="32"/>
    </row>
    <row r="413" spans="7:8" ht="15.75" customHeight="1">
      <c r="G413" s="46"/>
      <c r="H413" s="32"/>
    </row>
    <row r="414" spans="7:8" ht="15.75" customHeight="1">
      <c r="G414" s="46"/>
      <c r="H414" s="32"/>
    </row>
    <row r="415" spans="7:8" ht="15.75" customHeight="1">
      <c r="G415" s="46"/>
      <c r="H415" s="32"/>
    </row>
    <row r="416" spans="7:8" ht="15.75" customHeight="1">
      <c r="G416" s="46"/>
      <c r="H416" s="32"/>
    </row>
    <row r="417" spans="7:8" ht="15.75" customHeight="1">
      <c r="G417" s="46"/>
      <c r="H417" s="32"/>
    </row>
    <row r="418" spans="7:8" ht="15.75" customHeight="1">
      <c r="G418" s="46"/>
      <c r="H418" s="32"/>
    </row>
    <row r="419" spans="7:8" ht="15.75" customHeight="1">
      <c r="G419" s="46"/>
      <c r="H419" s="32"/>
    </row>
    <row r="420" spans="7:8" ht="15.75" customHeight="1">
      <c r="G420" s="46"/>
      <c r="H420" s="32"/>
    </row>
    <row r="421" spans="7:8" ht="15.75" customHeight="1">
      <c r="G421" s="46"/>
      <c r="H421" s="32"/>
    </row>
    <row r="422" spans="7:8" ht="15.75" customHeight="1">
      <c r="G422" s="46"/>
      <c r="H422" s="32"/>
    </row>
    <row r="423" spans="7:8" ht="15.75" customHeight="1">
      <c r="G423" s="46"/>
      <c r="H423" s="32"/>
    </row>
    <row r="424" spans="7:8" ht="15.75" customHeight="1">
      <c r="G424" s="46"/>
      <c r="H424" s="32"/>
    </row>
    <row r="425" spans="7:8" ht="15.75" customHeight="1">
      <c r="G425" s="46"/>
      <c r="H425" s="32"/>
    </row>
    <row r="426" spans="7:8" ht="15.75" customHeight="1">
      <c r="G426" s="46"/>
      <c r="H426" s="32"/>
    </row>
    <row r="427" spans="7:8" ht="15.75" customHeight="1">
      <c r="G427" s="46"/>
      <c r="H427" s="32"/>
    </row>
    <row r="428" spans="7:8" ht="15.75" customHeight="1">
      <c r="G428" s="46"/>
      <c r="H428" s="32"/>
    </row>
    <row r="429" spans="7:8" ht="15.75" customHeight="1">
      <c r="G429" s="46"/>
      <c r="H429" s="32"/>
    </row>
    <row r="430" spans="7:8" ht="15.75" customHeight="1">
      <c r="G430" s="46"/>
      <c r="H430" s="32"/>
    </row>
    <row r="431" spans="7:8" ht="15.75" customHeight="1">
      <c r="G431" s="46"/>
      <c r="H431" s="32"/>
    </row>
    <row r="432" spans="7:8" ht="15.75" customHeight="1">
      <c r="G432" s="46"/>
      <c r="H432" s="32"/>
    </row>
    <row r="433" spans="7:8" ht="15.75" customHeight="1">
      <c r="G433" s="46"/>
      <c r="H433" s="32"/>
    </row>
    <row r="434" spans="7:8" ht="15.75" customHeight="1">
      <c r="G434" s="46"/>
      <c r="H434" s="32"/>
    </row>
    <row r="435" spans="7:8" ht="15.75" customHeight="1">
      <c r="G435" s="46"/>
      <c r="H435" s="32"/>
    </row>
    <row r="436" spans="7:8" ht="15.75" customHeight="1">
      <c r="G436" s="46"/>
      <c r="H436" s="32"/>
    </row>
    <row r="437" spans="7:8" ht="15.75" customHeight="1">
      <c r="G437" s="46"/>
      <c r="H437" s="32"/>
    </row>
    <row r="438" spans="7:8" ht="15.75" customHeight="1">
      <c r="G438" s="46"/>
      <c r="H438" s="32"/>
    </row>
    <row r="439" spans="7:8" ht="15.75" customHeight="1">
      <c r="G439" s="46"/>
      <c r="H439" s="32"/>
    </row>
    <row r="440" spans="7:8" ht="15.75" customHeight="1">
      <c r="G440" s="46"/>
      <c r="H440" s="32"/>
    </row>
    <row r="441" spans="7:8" ht="15.75" customHeight="1">
      <c r="G441" s="46"/>
      <c r="H441" s="32"/>
    </row>
    <row r="442" spans="7:8" ht="15.75" customHeight="1">
      <c r="G442" s="46"/>
      <c r="H442" s="32"/>
    </row>
    <row r="443" spans="7:8" ht="15.75" customHeight="1">
      <c r="G443" s="46"/>
      <c r="H443" s="32"/>
    </row>
    <row r="444" spans="7:8" ht="15.75" customHeight="1">
      <c r="G444" s="46"/>
      <c r="H444" s="32"/>
    </row>
    <row r="445" spans="7:8" ht="15.75" customHeight="1">
      <c r="G445" s="46"/>
      <c r="H445" s="32"/>
    </row>
    <row r="446" spans="7:8" ht="15.75" customHeight="1">
      <c r="G446" s="46"/>
      <c r="H446" s="32"/>
    </row>
    <row r="447" spans="7:8" ht="15.75" customHeight="1">
      <c r="G447" s="46"/>
      <c r="H447" s="32"/>
    </row>
    <row r="448" spans="7:8" ht="15.75" customHeight="1">
      <c r="G448" s="46"/>
      <c r="H448" s="32"/>
    </row>
    <row r="449" spans="7:8" ht="15.75" customHeight="1">
      <c r="G449" s="46"/>
      <c r="H449" s="32"/>
    </row>
    <row r="450" spans="7:8" ht="15.75" customHeight="1">
      <c r="G450" s="46"/>
      <c r="H450" s="32"/>
    </row>
    <row r="451" spans="7:8" ht="15.75" customHeight="1">
      <c r="G451" s="46"/>
      <c r="H451" s="32"/>
    </row>
    <row r="452" spans="7:8" ht="15.75" customHeight="1">
      <c r="G452" s="46"/>
      <c r="H452" s="32"/>
    </row>
    <row r="453" spans="7:8" ht="15.75" customHeight="1">
      <c r="G453" s="46"/>
      <c r="H453" s="32"/>
    </row>
    <row r="454" spans="7:8" ht="15.75" customHeight="1">
      <c r="G454" s="46"/>
      <c r="H454" s="32"/>
    </row>
    <row r="455" spans="7:8" ht="15.75" customHeight="1">
      <c r="G455" s="46"/>
      <c r="H455" s="32"/>
    </row>
    <row r="456" spans="7:8" ht="15.75" customHeight="1">
      <c r="G456" s="46"/>
      <c r="H456" s="32"/>
    </row>
    <row r="457" spans="7:8" ht="15.75" customHeight="1">
      <c r="G457" s="46"/>
      <c r="H457" s="32"/>
    </row>
    <row r="458" spans="7:8" ht="15.75" customHeight="1">
      <c r="G458" s="46"/>
      <c r="H458" s="32"/>
    </row>
    <row r="459" spans="7:8" ht="15.75" customHeight="1">
      <c r="G459" s="46"/>
      <c r="H459" s="32"/>
    </row>
    <row r="460" spans="7:8" ht="15.75" customHeight="1">
      <c r="G460" s="46"/>
      <c r="H460" s="32"/>
    </row>
    <row r="461" spans="7:8" ht="15.75" customHeight="1">
      <c r="G461" s="46"/>
      <c r="H461" s="32"/>
    </row>
    <row r="462" spans="7:8" ht="15.75" customHeight="1">
      <c r="G462" s="46"/>
      <c r="H462" s="32"/>
    </row>
    <row r="463" spans="7:8" ht="15.75" customHeight="1">
      <c r="G463" s="46"/>
      <c r="H463" s="32"/>
    </row>
    <row r="464" spans="7:8" ht="15.75" customHeight="1">
      <c r="G464" s="46"/>
      <c r="H464" s="32"/>
    </row>
    <row r="465" spans="7:8" ht="15.75" customHeight="1">
      <c r="G465" s="46"/>
      <c r="H465" s="32"/>
    </row>
    <row r="466" spans="7:8" ht="15.75" customHeight="1">
      <c r="G466" s="46"/>
      <c r="H466" s="32"/>
    </row>
    <row r="467" spans="7:8" ht="15.75" customHeight="1">
      <c r="G467" s="46"/>
      <c r="H467" s="32"/>
    </row>
    <row r="468" spans="7:8" ht="15.75" customHeight="1">
      <c r="G468" s="46"/>
      <c r="H468" s="32"/>
    </row>
    <row r="469" spans="7:8" ht="15.75" customHeight="1">
      <c r="G469" s="46"/>
      <c r="H469" s="32"/>
    </row>
    <row r="470" spans="7:8" ht="15.75" customHeight="1">
      <c r="G470" s="46"/>
      <c r="H470" s="32"/>
    </row>
    <row r="471" spans="7:8" ht="15.75" customHeight="1">
      <c r="G471" s="46"/>
      <c r="H471" s="32"/>
    </row>
    <row r="472" spans="7:8" ht="15.75" customHeight="1">
      <c r="G472" s="46"/>
      <c r="H472" s="32"/>
    </row>
    <row r="473" spans="7:8" ht="15.75" customHeight="1">
      <c r="G473" s="46"/>
      <c r="H473" s="32"/>
    </row>
    <row r="474" spans="7:8" ht="15.75" customHeight="1">
      <c r="G474" s="46"/>
      <c r="H474" s="32"/>
    </row>
    <row r="475" spans="7:8" ht="15.75" customHeight="1">
      <c r="G475" s="46"/>
      <c r="H475" s="32"/>
    </row>
    <row r="476" spans="7:8" ht="15.75" customHeight="1">
      <c r="G476" s="46"/>
      <c r="H476" s="32"/>
    </row>
    <row r="477" spans="7:8" ht="15.75" customHeight="1">
      <c r="G477" s="46"/>
      <c r="H477" s="32"/>
    </row>
    <row r="478" spans="7:8" ht="15.75" customHeight="1">
      <c r="G478" s="46"/>
      <c r="H478" s="32"/>
    </row>
    <row r="479" spans="7:8" ht="15.75" customHeight="1">
      <c r="G479" s="46"/>
      <c r="H479" s="32"/>
    </row>
    <row r="480" spans="7:8" ht="15.75" customHeight="1">
      <c r="G480" s="46"/>
      <c r="H480" s="32"/>
    </row>
    <row r="481" spans="7:8" ht="15.75" customHeight="1">
      <c r="G481" s="46"/>
      <c r="H481" s="32"/>
    </row>
    <row r="482" spans="7:8" ht="15.75" customHeight="1">
      <c r="G482" s="46"/>
      <c r="H482" s="32"/>
    </row>
    <row r="483" spans="7:8" ht="15.75" customHeight="1">
      <c r="G483" s="46"/>
      <c r="H483" s="32"/>
    </row>
    <row r="484" spans="7:8" ht="15.75" customHeight="1">
      <c r="G484" s="46"/>
      <c r="H484" s="32"/>
    </row>
    <row r="485" spans="7:8" ht="15.75" customHeight="1">
      <c r="G485" s="46"/>
      <c r="H485" s="32"/>
    </row>
    <row r="486" spans="7:8" ht="15.75" customHeight="1">
      <c r="G486" s="46"/>
      <c r="H486" s="32"/>
    </row>
    <row r="487" spans="7:8" ht="15.75" customHeight="1">
      <c r="G487" s="46"/>
      <c r="H487" s="32"/>
    </row>
    <row r="488" spans="7:8" ht="15.75" customHeight="1">
      <c r="G488" s="46"/>
      <c r="H488" s="32"/>
    </row>
    <row r="489" spans="7:8" ht="15.75" customHeight="1">
      <c r="G489" s="46"/>
      <c r="H489" s="32"/>
    </row>
    <row r="490" spans="7:8" ht="15.75" customHeight="1">
      <c r="G490" s="46"/>
      <c r="H490" s="32"/>
    </row>
    <row r="491" spans="7:8" ht="15.75" customHeight="1">
      <c r="G491" s="46"/>
      <c r="H491" s="32"/>
    </row>
    <row r="492" spans="7:8" ht="15.75" customHeight="1">
      <c r="G492" s="46"/>
      <c r="H492" s="32"/>
    </row>
    <row r="493" spans="7:8" ht="15.75" customHeight="1">
      <c r="G493" s="46"/>
      <c r="H493" s="32"/>
    </row>
    <row r="494" spans="7:8" ht="15.75" customHeight="1">
      <c r="G494" s="46"/>
      <c r="H494" s="32"/>
    </row>
    <row r="495" spans="7:8" ht="15.75" customHeight="1">
      <c r="G495" s="46"/>
      <c r="H495" s="32"/>
    </row>
    <row r="496" spans="7:8" ht="15.75" customHeight="1">
      <c r="G496" s="46"/>
      <c r="H496" s="32"/>
    </row>
    <row r="497" spans="7:8" ht="15.75" customHeight="1">
      <c r="G497" s="46"/>
      <c r="H497" s="32"/>
    </row>
    <row r="498" spans="7:8" ht="15.75" customHeight="1">
      <c r="G498" s="46"/>
      <c r="H498" s="32"/>
    </row>
    <row r="499" spans="7:8" ht="15.75" customHeight="1">
      <c r="G499" s="46"/>
      <c r="H499" s="32"/>
    </row>
    <row r="500" spans="7:8" ht="15.75" customHeight="1">
      <c r="G500" s="46"/>
      <c r="H500" s="32"/>
    </row>
    <row r="501" spans="7:8" ht="15.75" customHeight="1">
      <c r="G501" s="46"/>
      <c r="H501" s="32"/>
    </row>
    <row r="502" spans="7:8" ht="15.75" customHeight="1">
      <c r="G502" s="46"/>
      <c r="H502" s="32"/>
    </row>
    <row r="503" spans="7:8" ht="15.75" customHeight="1">
      <c r="G503" s="46"/>
      <c r="H503" s="32"/>
    </row>
    <row r="504" spans="7:8" ht="15.75" customHeight="1">
      <c r="G504" s="46"/>
      <c r="H504" s="32"/>
    </row>
    <row r="505" spans="7:8" ht="15.75" customHeight="1">
      <c r="G505" s="46"/>
      <c r="H505" s="32"/>
    </row>
    <row r="506" spans="7:8" ht="15.75" customHeight="1">
      <c r="G506" s="46"/>
      <c r="H506" s="32"/>
    </row>
    <row r="507" spans="7:8" ht="15.75" customHeight="1">
      <c r="G507" s="46"/>
      <c r="H507" s="32"/>
    </row>
    <row r="508" spans="7:8" ht="15.75" customHeight="1">
      <c r="G508" s="46"/>
      <c r="H508" s="32"/>
    </row>
    <row r="509" spans="7:8" ht="15.75" customHeight="1">
      <c r="G509" s="46"/>
      <c r="H509" s="32"/>
    </row>
    <row r="510" spans="7:8" ht="15.75" customHeight="1">
      <c r="G510" s="46"/>
      <c r="H510" s="32"/>
    </row>
    <row r="511" spans="7:8" ht="15.75" customHeight="1">
      <c r="G511" s="46"/>
      <c r="H511" s="32"/>
    </row>
    <row r="512" spans="7:8" ht="15.75" customHeight="1">
      <c r="G512" s="46"/>
      <c r="H512" s="32"/>
    </row>
    <row r="513" spans="7:8" ht="15.75" customHeight="1">
      <c r="G513" s="46"/>
      <c r="H513" s="32"/>
    </row>
    <row r="514" spans="7:8" ht="15.75" customHeight="1">
      <c r="G514" s="46"/>
      <c r="H514" s="32"/>
    </row>
    <row r="515" spans="7:8" ht="15.75" customHeight="1">
      <c r="G515" s="46"/>
      <c r="H515" s="32"/>
    </row>
    <row r="516" spans="7:8" ht="15.75" customHeight="1">
      <c r="G516" s="46"/>
      <c r="H516" s="32"/>
    </row>
    <row r="517" spans="7:8" ht="15.75" customHeight="1">
      <c r="G517" s="46"/>
      <c r="H517" s="32"/>
    </row>
    <row r="518" spans="7:8" ht="15.75" customHeight="1">
      <c r="G518" s="46"/>
      <c r="H518" s="32"/>
    </row>
    <row r="519" spans="7:8" ht="15.75" customHeight="1">
      <c r="G519" s="46"/>
      <c r="H519" s="32"/>
    </row>
    <row r="520" spans="7:8" ht="15.75" customHeight="1">
      <c r="G520" s="46"/>
      <c r="H520" s="32"/>
    </row>
    <row r="521" spans="7:8" ht="15.75" customHeight="1">
      <c r="G521" s="46"/>
      <c r="H521" s="32"/>
    </row>
    <row r="522" spans="7:8" ht="15.75" customHeight="1">
      <c r="G522" s="46"/>
      <c r="H522" s="32"/>
    </row>
    <row r="523" spans="7:8" ht="15.75" customHeight="1">
      <c r="G523" s="46"/>
      <c r="H523" s="32"/>
    </row>
    <row r="524" spans="7:8" ht="15.75" customHeight="1">
      <c r="G524" s="46"/>
      <c r="H524" s="32"/>
    </row>
    <row r="525" spans="7:8" ht="15.75" customHeight="1">
      <c r="G525" s="46"/>
      <c r="H525" s="32"/>
    </row>
    <row r="526" spans="7:8" ht="15.75" customHeight="1">
      <c r="G526" s="46"/>
      <c r="H526" s="32"/>
    </row>
    <row r="527" spans="7:8" ht="15.75" customHeight="1">
      <c r="G527" s="46"/>
      <c r="H527" s="32"/>
    </row>
    <row r="528" spans="7:8" ht="15.75" customHeight="1">
      <c r="G528" s="46"/>
      <c r="H528" s="32"/>
    </row>
    <row r="529" spans="7:8" ht="15.75" customHeight="1">
      <c r="G529" s="46"/>
      <c r="H529" s="32"/>
    </row>
    <row r="530" spans="7:8" ht="15.75" customHeight="1">
      <c r="G530" s="46"/>
      <c r="H530" s="32"/>
    </row>
    <row r="531" spans="7:8" ht="15.75" customHeight="1">
      <c r="G531" s="46"/>
      <c r="H531" s="32"/>
    </row>
    <row r="532" spans="7:8" ht="15.75" customHeight="1">
      <c r="G532" s="46"/>
      <c r="H532" s="32"/>
    </row>
    <row r="533" spans="7:8" ht="15.75" customHeight="1">
      <c r="G533" s="46"/>
      <c r="H533" s="32"/>
    </row>
    <row r="534" spans="7:8" ht="15.75" customHeight="1">
      <c r="G534" s="46"/>
      <c r="H534" s="32"/>
    </row>
    <row r="535" spans="7:8" ht="15.75" customHeight="1">
      <c r="G535" s="46"/>
      <c r="H535" s="32"/>
    </row>
    <row r="536" spans="7:8" ht="15.75" customHeight="1">
      <c r="G536" s="46"/>
      <c r="H536" s="32"/>
    </row>
    <row r="537" spans="7:8" ht="15.75" customHeight="1">
      <c r="G537" s="46"/>
      <c r="H537" s="32"/>
    </row>
    <row r="538" spans="7:8" ht="15.75" customHeight="1">
      <c r="G538" s="46"/>
      <c r="H538" s="32"/>
    </row>
    <row r="539" spans="7:8" ht="15.75" customHeight="1">
      <c r="G539" s="46"/>
      <c r="H539" s="32"/>
    </row>
    <row r="540" spans="7:8" ht="15.75" customHeight="1">
      <c r="G540" s="46"/>
      <c r="H540" s="32"/>
    </row>
    <row r="541" spans="7:8" ht="15.75" customHeight="1">
      <c r="G541" s="46"/>
      <c r="H541" s="32"/>
    </row>
    <row r="542" spans="7:8" ht="15.75" customHeight="1">
      <c r="G542" s="46"/>
      <c r="H542" s="32"/>
    </row>
    <row r="543" spans="7:8" ht="15.75" customHeight="1">
      <c r="G543" s="46"/>
      <c r="H543" s="32"/>
    </row>
    <row r="544" spans="7:8" ht="15.75" customHeight="1">
      <c r="G544" s="46"/>
      <c r="H544" s="32"/>
    </row>
    <row r="545" spans="7:8" ht="15.75" customHeight="1">
      <c r="G545" s="46"/>
      <c r="H545" s="32"/>
    </row>
    <row r="546" spans="7:8" ht="15.75" customHeight="1">
      <c r="G546" s="46"/>
      <c r="H546" s="32"/>
    </row>
    <row r="547" spans="7:8" ht="15.75" customHeight="1">
      <c r="G547" s="46"/>
      <c r="H547" s="32"/>
    </row>
    <row r="548" spans="7:8" ht="15.75" customHeight="1">
      <c r="G548" s="46"/>
      <c r="H548" s="32"/>
    </row>
    <row r="549" spans="7:8" ht="15.75" customHeight="1">
      <c r="G549" s="46"/>
      <c r="H549" s="32"/>
    </row>
    <row r="550" spans="7:8" ht="15.75" customHeight="1">
      <c r="G550" s="46"/>
      <c r="H550" s="32"/>
    </row>
    <row r="551" spans="7:8" ht="15.75" customHeight="1">
      <c r="G551" s="46"/>
      <c r="H551" s="32"/>
    </row>
    <row r="552" spans="7:8" ht="15.75" customHeight="1">
      <c r="G552" s="46"/>
      <c r="H552" s="32"/>
    </row>
    <row r="553" spans="7:8" ht="15.75" customHeight="1">
      <c r="G553" s="46"/>
      <c r="H553" s="32"/>
    </row>
    <row r="554" spans="7:8" ht="15.75" customHeight="1">
      <c r="G554" s="46"/>
      <c r="H554" s="32"/>
    </row>
    <row r="555" spans="7:8" ht="15.75" customHeight="1">
      <c r="G555" s="46"/>
      <c r="H555" s="32"/>
    </row>
    <row r="556" spans="7:8" ht="15.75" customHeight="1">
      <c r="G556" s="46"/>
      <c r="H556" s="32"/>
    </row>
    <row r="557" spans="7:8" ht="15.75" customHeight="1">
      <c r="G557" s="46"/>
      <c r="H557" s="32"/>
    </row>
    <row r="558" spans="7:8" ht="15.75" customHeight="1">
      <c r="G558" s="46"/>
      <c r="H558" s="32"/>
    </row>
    <row r="559" spans="7:8" ht="15.75" customHeight="1">
      <c r="G559" s="46"/>
      <c r="H559" s="32"/>
    </row>
    <row r="560" spans="7:8" ht="15.75" customHeight="1">
      <c r="G560" s="46"/>
      <c r="H560" s="32"/>
    </row>
    <row r="561" spans="7:8" ht="15.75" customHeight="1">
      <c r="G561" s="46"/>
      <c r="H561" s="32"/>
    </row>
    <row r="562" spans="7:8" ht="15.75" customHeight="1">
      <c r="G562" s="46"/>
      <c r="H562" s="32"/>
    </row>
    <row r="563" spans="7:8" ht="15.75" customHeight="1">
      <c r="G563" s="46"/>
      <c r="H563" s="32"/>
    </row>
    <row r="564" spans="7:8" ht="15.75" customHeight="1">
      <c r="G564" s="46"/>
      <c r="H564" s="32"/>
    </row>
    <row r="565" spans="7:8" ht="15.75" customHeight="1">
      <c r="G565" s="46"/>
      <c r="H565" s="32"/>
    </row>
    <row r="566" spans="7:8" ht="15.75" customHeight="1">
      <c r="G566" s="46"/>
      <c r="H566" s="32"/>
    </row>
    <row r="567" spans="7:8" ht="15.75" customHeight="1">
      <c r="G567" s="46"/>
      <c r="H567" s="32"/>
    </row>
    <row r="568" spans="7:8" ht="15.75" customHeight="1">
      <c r="G568" s="46"/>
      <c r="H568" s="32"/>
    </row>
    <row r="569" spans="7:8" ht="15.75" customHeight="1">
      <c r="G569" s="46"/>
      <c r="H569" s="32"/>
    </row>
    <row r="570" spans="7:8" ht="15.75" customHeight="1">
      <c r="G570" s="46"/>
      <c r="H570" s="32"/>
    </row>
    <row r="571" spans="7:8" ht="15.75" customHeight="1">
      <c r="G571" s="46"/>
      <c r="H571" s="32"/>
    </row>
    <row r="572" spans="7:8" ht="15.75" customHeight="1">
      <c r="G572" s="46"/>
      <c r="H572" s="32"/>
    </row>
    <row r="573" spans="7:8" ht="15.75" customHeight="1">
      <c r="G573" s="46"/>
      <c r="H573" s="32"/>
    </row>
    <row r="574" spans="7:8" ht="15.75" customHeight="1">
      <c r="G574" s="46"/>
      <c r="H574" s="32"/>
    </row>
    <row r="575" spans="7:8" ht="15.75" customHeight="1">
      <c r="G575" s="46"/>
      <c r="H575" s="32"/>
    </row>
    <row r="576" spans="7:8" ht="15.75" customHeight="1">
      <c r="G576" s="46"/>
      <c r="H576" s="32"/>
    </row>
    <row r="577" spans="7:8" ht="15.75" customHeight="1">
      <c r="G577" s="46"/>
      <c r="H577" s="32"/>
    </row>
    <row r="578" spans="7:8" ht="15.75" customHeight="1">
      <c r="G578" s="46"/>
      <c r="H578" s="32"/>
    </row>
    <row r="579" spans="7:8" ht="15.75" customHeight="1">
      <c r="G579" s="46"/>
      <c r="H579" s="32"/>
    </row>
    <row r="580" spans="7:8" ht="15.75" customHeight="1">
      <c r="G580" s="46"/>
      <c r="H580" s="32"/>
    </row>
    <row r="581" spans="7:8" ht="15.75" customHeight="1">
      <c r="G581" s="46"/>
      <c r="H581" s="32"/>
    </row>
    <row r="582" spans="7:8" ht="15.75" customHeight="1">
      <c r="G582" s="46"/>
      <c r="H582" s="32"/>
    </row>
    <row r="583" spans="7:8" ht="15.75" customHeight="1">
      <c r="G583" s="46"/>
      <c r="H583" s="32"/>
    </row>
    <row r="584" spans="7:8" ht="15.75" customHeight="1">
      <c r="G584" s="46"/>
      <c r="H584" s="32"/>
    </row>
    <row r="585" spans="7:8" ht="15.75" customHeight="1">
      <c r="G585" s="46"/>
      <c r="H585" s="32"/>
    </row>
    <row r="586" spans="7:8" ht="15.75" customHeight="1">
      <c r="G586" s="46"/>
      <c r="H586" s="32"/>
    </row>
    <row r="587" spans="7:8" ht="15.75" customHeight="1">
      <c r="G587" s="46"/>
      <c r="H587" s="32"/>
    </row>
    <row r="588" spans="7:8" ht="15.75" customHeight="1">
      <c r="G588" s="46"/>
      <c r="H588" s="32"/>
    </row>
    <row r="589" spans="7:8" ht="15.75" customHeight="1">
      <c r="G589" s="46"/>
      <c r="H589" s="32"/>
    </row>
    <row r="590" spans="7:8" ht="15.75" customHeight="1">
      <c r="G590" s="46"/>
      <c r="H590" s="32"/>
    </row>
    <row r="591" spans="7:8" ht="15.75" customHeight="1">
      <c r="G591" s="46"/>
      <c r="H591" s="32"/>
    </row>
    <row r="592" spans="7:8" ht="15.75" customHeight="1">
      <c r="G592" s="46"/>
      <c r="H592" s="32"/>
    </row>
    <row r="593" spans="7:8" ht="15.75" customHeight="1">
      <c r="G593" s="46"/>
      <c r="H593" s="32"/>
    </row>
    <row r="594" spans="7:8" ht="15.75" customHeight="1">
      <c r="G594" s="46"/>
      <c r="H594" s="32"/>
    </row>
    <row r="595" spans="7:8" ht="15.75" customHeight="1">
      <c r="G595" s="46"/>
      <c r="H595" s="32"/>
    </row>
    <row r="596" spans="7:8" ht="15.75" customHeight="1">
      <c r="G596" s="46"/>
      <c r="H596" s="32"/>
    </row>
    <row r="597" spans="7:8" ht="15.75" customHeight="1">
      <c r="G597" s="46"/>
      <c r="H597" s="32"/>
    </row>
    <row r="598" spans="7:8" ht="15.75" customHeight="1">
      <c r="G598" s="46"/>
      <c r="H598" s="32"/>
    </row>
    <row r="599" spans="7:8" ht="15.75" customHeight="1">
      <c r="G599" s="46"/>
      <c r="H599" s="32"/>
    </row>
    <row r="600" spans="7:8" ht="15.75" customHeight="1">
      <c r="G600" s="46"/>
      <c r="H600" s="32"/>
    </row>
    <row r="601" spans="7:8" ht="15.75" customHeight="1">
      <c r="G601" s="46"/>
      <c r="H601" s="32"/>
    </row>
    <row r="602" spans="7:8" ht="15.75" customHeight="1">
      <c r="G602" s="46"/>
      <c r="H602" s="32"/>
    </row>
    <row r="603" spans="7:8" ht="15.75" customHeight="1">
      <c r="G603" s="46"/>
      <c r="H603" s="32"/>
    </row>
    <row r="604" spans="7:8" ht="15.75" customHeight="1">
      <c r="G604" s="46"/>
      <c r="H604" s="32"/>
    </row>
    <row r="605" spans="7:8" ht="15.75" customHeight="1">
      <c r="G605" s="46"/>
      <c r="H605" s="32"/>
    </row>
    <row r="606" spans="7:8" ht="15.75" customHeight="1">
      <c r="G606" s="46"/>
      <c r="H606" s="32"/>
    </row>
    <row r="607" spans="7:8" ht="15.75" customHeight="1">
      <c r="G607" s="46"/>
      <c r="H607" s="32"/>
    </row>
    <row r="608" spans="7:8" ht="15.75" customHeight="1">
      <c r="G608" s="46"/>
      <c r="H608" s="32"/>
    </row>
    <row r="609" spans="7:8" ht="15.75" customHeight="1">
      <c r="G609" s="46"/>
      <c r="H609" s="32"/>
    </row>
    <row r="610" spans="7:8" ht="15.75" customHeight="1">
      <c r="G610" s="46"/>
      <c r="H610" s="32"/>
    </row>
    <row r="611" spans="7:8" ht="15.75" customHeight="1">
      <c r="G611" s="46"/>
      <c r="H611" s="32"/>
    </row>
    <row r="612" spans="7:8" ht="15.75" customHeight="1">
      <c r="G612" s="46"/>
      <c r="H612" s="32"/>
    </row>
    <row r="613" spans="7:8" ht="15.75" customHeight="1">
      <c r="G613" s="46"/>
      <c r="H613" s="32"/>
    </row>
    <row r="614" spans="7:8" ht="15.75" customHeight="1">
      <c r="G614" s="46"/>
      <c r="H614" s="32"/>
    </row>
    <row r="615" spans="7:8" ht="15.75" customHeight="1">
      <c r="G615" s="46"/>
      <c r="H615" s="32"/>
    </row>
    <row r="616" spans="7:8" ht="15.75" customHeight="1">
      <c r="G616" s="46"/>
      <c r="H616" s="32"/>
    </row>
    <row r="617" spans="7:8" ht="15.75" customHeight="1">
      <c r="G617" s="46"/>
      <c r="H617" s="32"/>
    </row>
    <row r="618" spans="7:8" ht="15.75" customHeight="1">
      <c r="G618" s="46"/>
      <c r="H618" s="32"/>
    </row>
    <row r="619" spans="7:8" ht="15.75" customHeight="1">
      <c r="G619" s="46"/>
      <c r="H619" s="32"/>
    </row>
    <row r="620" spans="7:8" ht="15.75" customHeight="1">
      <c r="G620" s="46"/>
      <c r="H620" s="32"/>
    </row>
    <row r="621" spans="7:8" ht="15.75" customHeight="1">
      <c r="G621" s="46"/>
      <c r="H621" s="32"/>
    </row>
    <row r="622" spans="7:8" ht="15.75" customHeight="1">
      <c r="G622" s="46"/>
      <c r="H622" s="32"/>
    </row>
    <row r="623" spans="7:8" ht="15.75" customHeight="1">
      <c r="G623" s="46"/>
      <c r="H623" s="32"/>
    </row>
    <row r="624" spans="7:8" ht="15.75" customHeight="1">
      <c r="G624" s="46"/>
      <c r="H624" s="32"/>
    </row>
    <row r="625" spans="7:8" ht="15.75" customHeight="1">
      <c r="G625" s="46"/>
      <c r="H625" s="32"/>
    </row>
    <row r="626" spans="7:8" ht="15.75" customHeight="1">
      <c r="G626" s="46"/>
      <c r="H626" s="32"/>
    </row>
    <row r="627" spans="7:8" ht="15.75" customHeight="1">
      <c r="G627" s="46"/>
      <c r="H627" s="32"/>
    </row>
    <row r="628" spans="7:8" ht="15.75" customHeight="1">
      <c r="G628" s="46"/>
      <c r="H628" s="32"/>
    </row>
    <row r="629" spans="7:8" ht="15.75" customHeight="1">
      <c r="G629" s="46"/>
      <c r="H629" s="32"/>
    </row>
    <row r="630" spans="7:8" ht="15.75" customHeight="1">
      <c r="G630" s="46"/>
      <c r="H630" s="32"/>
    </row>
    <row r="631" spans="7:8" ht="15.75" customHeight="1">
      <c r="G631" s="46"/>
      <c r="H631" s="32"/>
    </row>
    <row r="632" spans="7:8" ht="15.75" customHeight="1">
      <c r="G632" s="46"/>
      <c r="H632" s="32"/>
    </row>
    <row r="633" spans="7:8" ht="15.75" customHeight="1">
      <c r="G633" s="46"/>
      <c r="H633" s="32"/>
    </row>
    <row r="634" spans="7:8" ht="15.75" customHeight="1">
      <c r="G634" s="46"/>
      <c r="H634" s="32"/>
    </row>
    <row r="635" spans="7:8" ht="15.75" customHeight="1">
      <c r="G635" s="46"/>
      <c r="H635" s="32"/>
    </row>
    <row r="636" spans="7:8" ht="15.75" customHeight="1">
      <c r="G636" s="46"/>
      <c r="H636" s="32"/>
    </row>
    <row r="637" spans="7:8" ht="15.75" customHeight="1">
      <c r="G637" s="46"/>
      <c r="H637" s="32"/>
    </row>
    <row r="638" spans="7:8" ht="15.75" customHeight="1">
      <c r="G638" s="46"/>
      <c r="H638" s="32"/>
    </row>
    <row r="639" spans="7:8" ht="15.75" customHeight="1">
      <c r="G639" s="46"/>
      <c r="H639" s="32"/>
    </row>
    <row r="640" spans="7:8" ht="15.75" customHeight="1">
      <c r="G640" s="46"/>
      <c r="H640" s="32"/>
    </row>
    <row r="641" spans="7:8" ht="15.75" customHeight="1">
      <c r="G641" s="46"/>
      <c r="H641" s="32"/>
    </row>
    <row r="642" spans="7:8" ht="15.75" customHeight="1">
      <c r="G642" s="46"/>
      <c r="H642" s="32"/>
    </row>
    <row r="643" spans="7:8" ht="15.75" customHeight="1">
      <c r="G643" s="46"/>
      <c r="H643" s="32"/>
    </row>
    <row r="644" spans="7:8" ht="15.75" customHeight="1">
      <c r="G644" s="46"/>
      <c r="H644" s="32"/>
    </row>
    <row r="645" spans="7:8" ht="15.75" customHeight="1">
      <c r="G645" s="46"/>
      <c r="H645" s="32"/>
    </row>
    <row r="646" spans="7:8" ht="15.75" customHeight="1">
      <c r="G646" s="46"/>
      <c r="H646" s="32"/>
    </row>
    <row r="647" spans="7:8" ht="15.75" customHeight="1">
      <c r="G647" s="46"/>
      <c r="H647" s="32"/>
    </row>
    <row r="648" spans="7:8" ht="15.75" customHeight="1">
      <c r="G648" s="46"/>
      <c r="H648" s="32"/>
    </row>
    <row r="649" spans="7:8" ht="15.75" customHeight="1">
      <c r="G649" s="46"/>
      <c r="H649" s="32"/>
    </row>
    <row r="650" spans="7:8" ht="15.75" customHeight="1">
      <c r="G650" s="46"/>
      <c r="H650" s="32"/>
    </row>
    <row r="651" spans="7:8" ht="15.75" customHeight="1">
      <c r="G651" s="46"/>
      <c r="H651" s="32"/>
    </row>
    <row r="652" spans="7:8" ht="15.75" customHeight="1">
      <c r="G652" s="46"/>
      <c r="H652" s="32"/>
    </row>
    <row r="653" spans="7:8" ht="15.75" customHeight="1">
      <c r="G653" s="46"/>
      <c r="H653" s="32"/>
    </row>
    <row r="654" spans="7:8" ht="15.75" customHeight="1">
      <c r="G654" s="46"/>
      <c r="H654" s="32"/>
    </row>
    <row r="655" spans="7:8" ht="15.75" customHeight="1">
      <c r="G655" s="46"/>
      <c r="H655" s="32"/>
    </row>
    <row r="656" spans="7:8" ht="15.75" customHeight="1">
      <c r="G656" s="46"/>
      <c r="H656" s="32"/>
    </row>
    <row r="657" spans="7:8" ht="15.75" customHeight="1">
      <c r="G657" s="46"/>
      <c r="H657" s="32"/>
    </row>
    <row r="658" spans="7:8" ht="15.75" customHeight="1">
      <c r="G658" s="46"/>
      <c r="H658" s="32"/>
    </row>
    <row r="659" spans="7:8" ht="15.75" customHeight="1">
      <c r="G659" s="46"/>
      <c r="H659" s="32"/>
    </row>
    <row r="660" spans="7:8" ht="15.75" customHeight="1">
      <c r="G660" s="46"/>
      <c r="H660" s="32"/>
    </row>
    <row r="661" spans="7:8" ht="15.75" customHeight="1">
      <c r="G661" s="46"/>
      <c r="H661" s="32"/>
    </row>
    <row r="662" spans="7:8" ht="15.75" customHeight="1">
      <c r="G662" s="46"/>
      <c r="H662" s="32"/>
    </row>
    <row r="663" spans="7:8" ht="15.75" customHeight="1">
      <c r="G663" s="46"/>
      <c r="H663" s="32"/>
    </row>
    <row r="664" spans="7:8" ht="15.75" customHeight="1">
      <c r="G664" s="46"/>
      <c r="H664" s="32"/>
    </row>
    <row r="665" spans="7:8" ht="15.75" customHeight="1">
      <c r="G665" s="46"/>
      <c r="H665" s="32"/>
    </row>
    <row r="666" spans="7:8" ht="15.75" customHeight="1">
      <c r="G666" s="46"/>
      <c r="H666" s="32"/>
    </row>
    <row r="667" spans="7:8" ht="15.75" customHeight="1">
      <c r="G667" s="46"/>
      <c r="H667" s="32"/>
    </row>
    <row r="668" spans="7:8" ht="15.75" customHeight="1">
      <c r="G668" s="46"/>
      <c r="H668" s="32"/>
    </row>
    <row r="669" spans="7:8" ht="15.75" customHeight="1">
      <c r="G669" s="46"/>
      <c r="H669" s="32"/>
    </row>
    <row r="670" spans="7:8" ht="15.75" customHeight="1">
      <c r="G670" s="46"/>
      <c r="H670" s="32"/>
    </row>
    <row r="671" spans="7:8" ht="15.75" customHeight="1">
      <c r="G671" s="46"/>
      <c r="H671" s="32"/>
    </row>
    <row r="672" spans="7:8" ht="15.75" customHeight="1">
      <c r="G672" s="46"/>
      <c r="H672" s="32"/>
    </row>
    <row r="673" spans="7:8" ht="15.75" customHeight="1">
      <c r="G673" s="46"/>
      <c r="H673" s="32"/>
    </row>
    <row r="674" spans="7:8" ht="15.75" customHeight="1">
      <c r="G674" s="46"/>
      <c r="H674" s="32"/>
    </row>
    <row r="675" spans="7:8" ht="15.75" customHeight="1">
      <c r="G675" s="46"/>
      <c r="H675" s="32"/>
    </row>
    <row r="676" spans="7:8" ht="15.75" customHeight="1">
      <c r="G676" s="46"/>
      <c r="H676" s="32"/>
    </row>
    <row r="677" spans="7:8" ht="15.75" customHeight="1">
      <c r="G677" s="46"/>
      <c r="H677" s="32"/>
    </row>
    <row r="678" spans="7:8" ht="15.75" customHeight="1">
      <c r="G678" s="46"/>
      <c r="H678" s="32"/>
    </row>
    <row r="679" spans="7:8" ht="15.75" customHeight="1">
      <c r="G679" s="46"/>
      <c r="H679" s="32"/>
    </row>
    <row r="680" spans="7:8" ht="15.75" customHeight="1">
      <c r="G680" s="46"/>
      <c r="H680" s="32"/>
    </row>
    <row r="681" spans="7:8" ht="15.75" customHeight="1">
      <c r="G681" s="46"/>
      <c r="H681" s="32"/>
    </row>
    <row r="682" spans="7:8" ht="15.75" customHeight="1">
      <c r="G682" s="46"/>
      <c r="H682" s="32"/>
    </row>
    <row r="683" spans="7:8" ht="15.75" customHeight="1">
      <c r="G683" s="46"/>
      <c r="H683" s="32"/>
    </row>
    <row r="684" spans="7:8" ht="15.75" customHeight="1">
      <c r="G684" s="46"/>
      <c r="H684" s="32"/>
    </row>
    <row r="685" spans="7:8" ht="15.75" customHeight="1">
      <c r="G685" s="46"/>
      <c r="H685" s="32"/>
    </row>
    <row r="686" spans="7:8" ht="15.75" customHeight="1">
      <c r="G686" s="46"/>
      <c r="H686" s="32"/>
    </row>
    <row r="687" spans="7:8" ht="15.75" customHeight="1">
      <c r="G687" s="46"/>
      <c r="H687" s="32"/>
    </row>
    <row r="688" spans="7:8" ht="15.75" customHeight="1">
      <c r="G688" s="46"/>
      <c r="H688" s="32"/>
    </row>
    <row r="689" spans="7:8" ht="15.75" customHeight="1">
      <c r="G689" s="46"/>
      <c r="H689" s="32"/>
    </row>
    <row r="690" spans="7:8" ht="15.75" customHeight="1">
      <c r="G690" s="46"/>
      <c r="H690" s="32"/>
    </row>
    <row r="691" spans="7:8" ht="15.75" customHeight="1">
      <c r="G691" s="46"/>
      <c r="H691" s="32"/>
    </row>
    <row r="692" spans="7:8" ht="15.75" customHeight="1">
      <c r="G692" s="46"/>
      <c r="H692" s="32"/>
    </row>
    <row r="693" spans="7:8" ht="15.75" customHeight="1">
      <c r="G693" s="46"/>
      <c r="H693" s="32"/>
    </row>
    <row r="694" spans="7:8" ht="15.75" customHeight="1">
      <c r="G694" s="46"/>
      <c r="H694" s="32"/>
    </row>
    <row r="695" spans="7:8" ht="15.75" customHeight="1">
      <c r="G695" s="46"/>
      <c r="H695" s="32"/>
    </row>
    <row r="696" spans="7:8" ht="15.75" customHeight="1">
      <c r="G696" s="46"/>
      <c r="H696" s="32"/>
    </row>
    <row r="697" spans="7:8" ht="15.75" customHeight="1">
      <c r="G697" s="46"/>
      <c r="H697" s="32"/>
    </row>
    <row r="698" spans="7:8" ht="15.75" customHeight="1">
      <c r="G698" s="46"/>
      <c r="H698" s="32"/>
    </row>
    <row r="699" spans="7:8" ht="15.75" customHeight="1">
      <c r="G699" s="46"/>
      <c r="H699" s="32"/>
    </row>
    <row r="700" spans="7:8" ht="15.75" customHeight="1">
      <c r="G700" s="46"/>
      <c r="H700" s="32"/>
    </row>
    <row r="701" spans="7:8" ht="15.75" customHeight="1">
      <c r="G701" s="46"/>
      <c r="H701" s="32"/>
    </row>
    <row r="702" spans="7:8" ht="15.75" customHeight="1">
      <c r="G702" s="46"/>
      <c r="H702" s="32"/>
    </row>
    <row r="703" spans="7:8" ht="15.75" customHeight="1">
      <c r="G703" s="46"/>
      <c r="H703" s="32"/>
    </row>
    <row r="704" spans="7:8" ht="15.75" customHeight="1">
      <c r="G704" s="46"/>
      <c r="H704" s="32"/>
    </row>
    <row r="705" spans="7:8" ht="15.75" customHeight="1">
      <c r="G705" s="46"/>
      <c r="H705" s="32"/>
    </row>
    <row r="706" spans="7:8" ht="15.75" customHeight="1">
      <c r="G706" s="46"/>
      <c r="H706" s="32"/>
    </row>
    <row r="707" spans="7:8" ht="15.75" customHeight="1">
      <c r="G707" s="46"/>
      <c r="H707" s="32"/>
    </row>
    <row r="708" spans="7:8" ht="15.75" customHeight="1">
      <c r="G708" s="46"/>
      <c r="H708" s="32"/>
    </row>
    <row r="709" spans="7:8" ht="15.75" customHeight="1">
      <c r="G709" s="46"/>
      <c r="H709" s="32"/>
    </row>
    <row r="710" spans="7:8" ht="15.75" customHeight="1">
      <c r="G710" s="46"/>
      <c r="H710" s="32"/>
    </row>
    <row r="711" spans="7:8" ht="15.75" customHeight="1">
      <c r="G711" s="46"/>
      <c r="H711" s="32"/>
    </row>
    <row r="712" spans="7:8" ht="15.75" customHeight="1">
      <c r="G712" s="46"/>
      <c r="H712" s="32"/>
    </row>
    <row r="713" spans="7:8" ht="15.75" customHeight="1">
      <c r="G713" s="46"/>
      <c r="H713" s="32"/>
    </row>
    <row r="714" spans="7:8" ht="15.75" customHeight="1">
      <c r="G714" s="46"/>
      <c r="H714" s="32"/>
    </row>
    <row r="715" spans="7:8" ht="15.75" customHeight="1">
      <c r="G715" s="46"/>
      <c r="H715" s="32"/>
    </row>
    <row r="716" spans="7:8" ht="15.75" customHeight="1">
      <c r="G716" s="46"/>
      <c r="H716" s="32"/>
    </row>
    <row r="717" spans="7:8" ht="15.75" customHeight="1">
      <c r="G717" s="46"/>
      <c r="H717" s="32"/>
    </row>
    <row r="718" spans="7:8" ht="15.75" customHeight="1">
      <c r="G718" s="46"/>
      <c r="H718" s="32"/>
    </row>
    <row r="719" spans="7:8" ht="15.75" customHeight="1">
      <c r="G719" s="46"/>
      <c r="H719" s="32"/>
    </row>
    <row r="720" spans="7:8" ht="15.75" customHeight="1">
      <c r="G720" s="46"/>
      <c r="H720" s="32"/>
    </row>
    <row r="721" spans="7:8" ht="15.75" customHeight="1">
      <c r="G721" s="46"/>
      <c r="H721" s="32"/>
    </row>
    <row r="722" spans="7:8" ht="15.75" customHeight="1">
      <c r="G722" s="46"/>
      <c r="H722" s="32"/>
    </row>
    <row r="723" spans="7:8" ht="15.75" customHeight="1">
      <c r="G723" s="46"/>
      <c r="H723" s="32"/>
    </row>
    <row r="724" spans="7:8" ht="15.75" customHeight="1">
      <c r="G724" s="46"/>
      <c r="H724" s="32"/>
    </row>
    <row r="725" spans="7:8" ht="15.75" customHeight="1">
      <c r="G725" s="46"/>
      <c r="H725" s="32"/>
    </row>
    <row r="726" spans="7:8" ht="15.75" customHeight="1">
      <c r="G726" s="46"/>
      <c r="H726" s="32"/>
    </row>
    <row r="727" spans="7:8" ht="15.75" customHeight="1">
      <c r="G727" s="46"/>
      <c r="H727" s="32"/>
    </row>
    <row r="728" spans="7:8" ht="15.75" customHeight="1">
      <c r="G728" s="46"/>
      <c r="H728" s="32"/>
    </row>
    <row r="729" spans="7:8" ht="15.75" customHeight="1">
      <c r="G729" s="46"/>
      <c r="H729" s="32"/>
    </row>
    <row r="730" spans="7:8" ht="15.75" customHeight="1">
      <c r="G730" s="46"/>
      <c r="H730" s="32"/>
    </row>
    <row r="731" spans="7:8" ht="15.75" customHeight="1">
      <c r="G731" s="46"/>
      <c r="H731" s="32"/>
    </row>
    <row r="732" spans="7:8" ht="15.75" customHeight="1">
      <c r="G732" s="46"/>
      <c r="H732" s="32"/>
    </row>
    <row r="733" spans="7:8" ht="15.75" customHeight="1">
      <c r="G733" s="46"/>
      <c r="H733" s="32"/>
    </row>
    <row r="734" spans="7:8" ht="15.75" customHeight="1">
      <c r="G734" s="46"/>
      <c r="H734" s="32"/>
    </row>
    <row r="735" spans="7:8" ht="15.75" customHeight="1">
      <c r="G735" s="46"/>
      <c r="H735" s="32"/>
    </row>
    <row r="736" spans="7:8" ht="15.75" customHeight="1">
      <c r="G736" s="46"/>
      <c r="H736" s="32"/>
    </row>
    <row r="737" spans="7:8" ht="15.75" customHeight="1">
      <c r="G737" s="46"/>
      <c r="H737" s="32"/>
    </row>
    <row r="738" spans="7:8" ht="15.75" customHeight="1">
      <c r="G738" s="46"/>
      <c r="H738" s="32"/>
    </row>
    <row r="739" spans="7:8" ht="15.75" customHeight="1">
      <c r="G739" s="46"/>
      <c r="H739" s="32"/>
    </row>
    <row r="740" spans="7:8" ht="15.75" customHeight="1">
      <c r="G740" s="46"/>
      <c r="H740" s="32"/>
    </row>
    <row r="741" spans="7:8" ht="15.75" customHeight="1">
      <c r="G741" s="46"/>
      <c r="H741" s="32"/>
    </row>
    <row r="742" spans="7:8" ht="15.75" customHeight="1">
      <c r="G742" s="46"/>
      <c r="H742" s="32"/>
    </row>
    <row r="743" spans="7:8" ht="15.75" customHeight="1">
      <c r="G743" s="46"/>
      <c r="H743" s="32"/>
    </row>
    <row r="744" spans="7:8" ht="15.75" customHeight="1">
      <c r="G744" s="46"/>
      <c r="H744" s="32"/>
    </row>
    <row r="745" spans="7:8" ht="15.75" customHeight="1">
      <c r="G745" s="46"/>
      <c r="H745" s="32"/>
    </row>
    <row r="746" spans="7:8" ht="15.75" customHeight="1">
      <c r="G746" s="46"/>
      <c r="H746" s="32"/>
    </row>
    <row r="747" spans="7:8" ht="15.75" customHeight="1">
      <c r="G747" s="46"/>
      <c r="H747" s="32"/>
    </row>
    <row r="748" spans="7:8" ht="15.75" customHeight="1">
      <c r="G748" s="46"/>
      <c r="H748" s="32"/>
    </row>
    <row r="749" spans="7:8" ht="15.75" customHeight="1">
      <c r="G749" s="46"/>
      <c r="H749" s="32"/>
    </row>
    <row r="750" spans="7:8" ht="15.75" customHeight="1">
      <c r="G750" s="46"/>
      <c r="H750" s="32"/>
    </row>
    <row r="751" spans="7:8" ht="15.75" customHeight="1">
      <c r="G751" s="46"/>
      <c r="H751" s="32"/>
    </row>
    <row r="752" spans="7:8" ht="15.75" customHeight="1">
      <c r="G752" s="46"/>
      <c r="H752" s="32"/>
    </row>
    <row r="753" spans="7:8" ht="15.75" customHeight="1">
      <c r="G753" s="46"/>
      <c r="H753" s="32"/>
    </row>
    <row r="754" spans="7:8" ht="15.75" customHeight="1">
      <c r="G754" s="46"/>
      <c r="H754" s="32"/>
    </row>
    <row r="755" spans="7:8" ht="15.75" customHeight="1">
      <c r="G755" s="46"/>
      <c r="H755" s="32"/>
    </row>
    <row r="756" spans="7:8" ht="15.75" customHeight="1">
      <c r="G756" s="46"/>
      <c r="H756" s="32"/>
    </row>
    <row r="757" spans="7:8" ht="15.75" customHeight="1">
      <c r="G757" s="46"/>
      <c r="H757" s="32"/>
    </row>
    <row r="758" spans="7:8" ht="15.75" customHeight="1">
      <c r="G758" s="46"/>
      <c r="H758" s="32"/>
    </row>
    <row r="759" spans="7:8" ht="15.75" customHeight="1">
      <c r="G759" s="46"/>
      <c r="H759" s="32"/>
    </row>
    <row r="760" spans="7:8" ht="15.75" customHeight="1">
      <c r="G760" s="46"/>
      <c r="H760" s="32"/>
    </row>
    <row r="761" spans="7:8" ht="15.75" customHeight="1">
      <c r="G761" s="46"/>
      <c r="H761" s="32"/>
    </row>
    <row r="762" spans="7:8" ht="15.75" customHeight="1">
      <c r="G762" s="46"/>
      <c r="H762" s="32"/>
    </row>
    <row r="763" spans="7:8" ht="15.75" customHeight="1">
      <c r="G763" s="46"/>
      <c r="H763" s="32"/>
    </row>
    <row r="764" spans="7:8" ht="15.75" customHeight="1">
      <c r="G764" s="46"/>
      <c r="H764" s="32"/>
    </row>
    <row r="765" spans="7:8" ht="15.75" customHeight="1">
      <c r="G765" s="46"/>
      <c r="H765" s="32"/>
    </row>
    <row r="766" spans="7:8" ht="15.75" customHeight="1">
      <c r="G766" s="46"/>
      <c r="H766" s="32"/>
    </row>
    <row r="767" spans="7:8" ht="15.75" customHeight="1">
      <c r="G767" s="46"/>
      <c r="H767" s="32"/>
    </row>
    <row r="768" spans="7:8" ht="15.75" customHeight="1">
      <c r="G768" s="46"/>
      <c r="H768" s="32"/>
    </row>
    <row r="769" spans="7:8" ht="15.75" customHeight="1">
      <c r="G769" s="46"/>
      <c r="H769" s="32"/>
    </row>
    <row r="770" spans="7:8" ht="15.75" customHeight="1">
      <c r="G770" s="46"/>
      <c r="H770" s="32"/>
    </row>
    <row r="771" spans="7:8" ht="15.75" customHeight="1">
      <c r="G771" s="46"/>
      <c r="H771" s="32"/>
    </row>
    <row r="772" spans="7:8" ht="15.75" customHeight="1">
      <c r="G772" s="46"/>
      <c r="H772" s="32"/>
    </row>
    <row r="773" spans="7:8" ht="15.75" customHeight="1">
      <c r="G773" s="46"/>
      <c r="H773" s="32"/>
    </row>
    <row r="774" spans="7:8" ht="15.75" customHeight="1">
      <c r="G774" s="46"/>
      <c r="H774" s="32"/>
    </row>
    <row r="775" spans="7:8" ht="15.75" customHeight="1">
      <c r="G775" s="46"/>
      <c r="H775" s="32"/>
    </row>
    <row r="776" spans="7:8" ht="15.75" customHeight="1">
      <c r="G776" s="46"/>
      <c r="H776" s="32"/>
    </row>
    <row r="777" spans="7:8" ht="15.75" customHeight="1">
      <c r="G777" s="46"/>
      <c r="H777" s="32"/>
    </row>
    <row r="778" spans="7:8" ht="15.75" customHeight="1">
      <c r="G778" s="46"/>
      <c r="H778" s="32"/>
    </row>
    <row r="779" spans="7:8" ht="15.75" customHeight="1">
      <c r="G779" s="46"/>
      <c r="H779" s="32"/>
    </row>
    <row r="780" spans="7:8" ht="15.75" customHeight="1">
      <c r="G780" s="46"/>
      <c r="H780" s="32"/>
    </row>
    <row r="781" spans="7:8" ht="15.75" customHeight="1">
      <c r="G781" s="46"/>
      <c r="H781" s="32"/>
    </row>
    <row r="782" spans="7:8" ht="15.75" customHeight="1">
      <c r="G782" s="46"/>
      <c r="H782" s="32"/>
    </row>
    <row r="783" spans="7:8" ht="15.75" customHeight="1">
      <c r="G783" s="46"/>
      <c r="H783" s="32"/>
    </row>
    <row r="784" spans="7:8" ht="15.75" customHeight="1">
      <c r="G784" s="46"/>
      <c r="H784" s="32"/>
    </row>
    <row r="785" spans="7:8" ht="15.75" customHeight="1">
      <c r="G785" s="46"/>
      <c r="H785" s="32"/>
    </row>
    <row r="786" spans="7:8" ht="15.75" customHeight="1">
      <c r="G786" s="46"/>
      <c r="H786" s="32"/>
    </row>
    <row r="787" spans="7:8" ht="15.75" customHeight="1">
      <c r="G787" s="46"/>
      <c r="H787" s="32"/>
    </row>
    <row r="788" spans="7:8" ht="15.75" customHeight="1">
      <c r="G788" s="46"/>
      <c r="H788" s="32"/>
    </row>
    <row r="789" spans="7:8" ht="15.75" customHeight="1">
      <c r="G789" s="46"/>
      <c r="H789" s="32"/>
    </row>
    <row r="790" spans="7:8" ht="15.75" customHeight="1">
      <c r="G790" s="46"/>
      <c r="H790" s="32"/>
    </row>
    <row r="791" spans="7:8" ht="15.75" customHeight="1">
      <c r="G791" s="46"/>
      <c r="H791" s="32"/>
    </row>
    <row r="792" spans="7:8" ht="15.75" customHeight="1">
      <c r="G792" s="46"/>
      <c r="H792" s="32"/>
    </row>
    <row r="793" spans="7:8" ht="15.75" customHeight="1">
      <c r="G793" s="46"/>
      <c r="H793" s="32"/>
    </row>
    <row r="794" spans="7:8" ht="15.75" customHeight="1">
      <c r="G794" s="46"/>
      <c r="H794" s="32"/>
    </row>
    <row r="795" spans="7:8" ht="15.75" customHeight="1">
      <c r="G795" s="46"/>
      <c r="H795" s="32"/>
    </row>
    <row r="796" spans="7:8" ht="15.75" customHeight="1">
      <c r="G796" s="46"/>
      <c r="H796" s="32"/>
    </row>
    <row r="797" spans="7:8" ht="15.75" customHeight="1">
      <c r="G797" s="46"/>
      <c r="H797" s="32"/>
    </row>
    <row r="798" spans="7:8" ht="15.75" customHeight="1">
      <c r="G798" s="46"/>
      <c r="H798" s="32"/>
    </row>
    <row r="799" spans="7:8" ht="15.75" customHeight="1">
      <c r="G799" s="46"/>
      <c r="H799" s="32"/>
    </row>
    <row r="800" spans="7:8" ht="15.75" customHeight="1">
      <c r="G800" s="46"/>
      <c r="H800" s="32"/>
    </row>
    <row r="801" spans="7:8" ht="15.75" customHeight="1">
      <c r="G801" s="46"/>
      <c r="H801" s="32"/>
    </row>
    <row r="802" spans="7:8" ht="15.75" customHeight="1">
      <c r="G802" s="46"/>
      <c r="H802" s="32"/>
    </row>
    <row r="803" spans="7:8" ht="15.75" customHeight="1">
      <c r="G803" s="46"/>
      <c r="H803" s="32"/>
    </row>
    <row r="804" spans="7:8" ht="15.75" customHeight="1">
      <c r="G804" s="46"/>
      <c r="H804" s="32"/>
    </row>
    <row r="805" spans="7:8" ht="15.75" customHeight="1">
      <c r="G805" s="46"/>
      <c r="H805" s="32"/>
    </row>
    <row r="806" spans="7:8" ht="15.75" customHeight="1">
      <c r="G806" s="46"/>
      <c r="H806" s="32"/>
    </row>
    <row r="807" spans="7:8" ht="15.75" customHeight="1">
      <c r="G807" s="46"/>
      <c r="H807" s="32"/>
    </row>
    <row r="808" spans="7:8" ht="15.75" customHeight="1">
      <c r="G808" s="46"/>
      <c r="H808" s="32"/>
    </row>
    <row r="809" spans="7:8" ht="15.75" customHeight="1">
      <c r="G809" s="46"/>
      <c r="H809" s="32"/>
    </row>
    <row r="810" spans="7:8" ht="15.75" customHeight="1">
      <c r="G810" s="46"/>
      <c r="H810" s="32"/>
    </row>
    <row r="811" spans="7:8" ht="15.75" customHeight="1">
      <c r="G811" s="46"/>
      <c r="H811" s="32"/>
    </row>
    <row r="812" spans="7:8" ht="15.75" customHeight="1">
      <c r="G812" s="46"/>
      <c r="H812" s="32"/>
    </row>
    <row r="813" spans="7:8" ht="15.75" customHeight="1">
      <c r="G813" s="46"/>
      <c r="H813" s="32"/>
    </row>
    <row r="814" spans="7:8" ht="15.75" customHeight="1">
      <c r="G814" s="46"/>
      <c r="H814" s="32"/>
    </row>
    <row r="815" spans="7:8" ht="15.75" customHeight="1">
      <c r="G815" s="46"/>
      <c r="H815" s="32"/>
    </row>
    <row r="816" spans="7:8" ht="15.75" customHeight="1">
      <c r="G816" s="46"/>
      <c r="H816" s="32"/>
    </row>
    <row r="817" spans="7:8" ht="15.75" customHeight="1">
      <c r="G817" s="46"/>
      <c r="H817" s="32"/>
    </row>
    <row r="818" spans="7:8" ht="15.75" customHeight="1">
      <c r="G818" s="46"/>
      <c r="H818" s="32"/>
    </row>
    <row r="819" spans="7:8" ht="15.75" customHeight="1">
      <c r="G819" s="46"/>
      <c r="H819" s="32"/>
    </row>
    <row r="820" spans="7:8" ht="15.75" customHeight="1">
      <c r="G820" s="46"/>
      <c r="H820" s="32"/>
    </row>
    <row r="821" spans="7:8" ht="15.75" customHeight="1">
      <c r="G821" s="46"/>
      <c r="H821" s="32"/>
    </row>
    <row r="822" spans="7:8" ht="15.75" customHeight="1">
      <c r="G822" s="46"/>
      <c r="H822" s="32"/>
    </row>
    <row r="823" spans="7:8" ht="15.75" customHeight="1">
      <c r="G823" s="46"/>
      <c r="H823" s="32"/>
    </row>
    <row r="824" spans="7:8" ht="15.75" customHeight="1">
      <c r="G824" s="46"/>
      <c r="H824" s="32"/>
    </row>
    <row r="825" spans="7:8" ht="15.75" customHeight="1">
      <c r="G825" s="46"/>
      <c r="H825" s="32"/>
    </row>
    <row r="826" spans="7:8" ht="15.75" customHeight="1">
      <c r="G826" s="46"/>
      <c r="H826" s="32"/>
    </row>
    <row r="827" spans="7:8" ht="15.75" customHeight="1">
      <c r="G827" s="46"/>
      <c r="H827" s="32"/>
    </row>
    <row r="828" spans="7:8" ht="15.75" customHeight="1">
      <c r="G828" s="46"/>
      <c r="H828" s="32"/>
    </row>
    <row r="829" spans="7:8" ht="15.75" customHeight="1">
      <c r="G829" s="46"/>
      <c r="H829" s="32"/>
    </row>
    <row r="830" spans="7:8" ht="15.75" customHeight="1">
      <c r="G830" s="46"/>
      <c r="H830" s="32"/>
    </row>
    <row r="831" spans="7:8" ht="15.75" customHeight="1">
      <c r="G831" s="46"/>
      <c r="H831" s="32"/>
    </row>
    <row r="832" spans="7:8" ht="15.75" customHeight="1">
      <c r="G832" s="46"/>
      <c r="H832" s="32"/>
    </row>
    <row r="833" spans="7:8" ht="15.75" customHeight="1">
      <c r="G833" s="46"/>
      <c r="H833" s="32"/>
    </row>
    <row r="834" spans="7:8" ht="15.75" customHeight="1">
      <c r="G834" s="46"/>
      <c r="H834" s="32"/>
    </row>
    <row r="835" spans="7:8" ht="15.75" customHeight="1">
      <c r="G835" s="46"/>
      <c r="H835" s="32"/>
    </row>
    <row r="836" spans="7:8" ht="15.75" customHeight="1">
      <c r="G836" s="46"/>
      <c r="H836" s="32"/>
    </row>
    <row r="837" spans="7:8" ht="15.75" customHeight="1">
      <c r="G837" s="46"/>
      <c r="H837" s="32"/>
    </row>
    <row r="838" spans="7:8" ht="15.75" customHeight="1">
      <c r="G838" s="46"/>
      <c r="H838" s="32"/>
    </row>
    <row r="839" spans="7:8" ht="15.75" customHeight="1">
      <c r="G839" s="46"/>
      <c r="H839" s="32"/>
    </row>
    <row r="840" spans="7:8" ht="15.75" customHeight="1">
      <c r="G840" s="46"/>
      <c r="H840" s="32"/>
    </row>
    <row r="841" spans="7:8" ht="15.75" customHeight="1">
      <c r="G841" s="46"/>
      <c r="H841" s="32"/>
    </row>
    <row r="842" spans="7:8" ht="15.75" customHeight="1">
      <c r="G842" s="46"/>
      <c r="H842" s="32"/>
    </row>
    <row r="843" spans="7:8" ht="15.75" customHeight="1">
      <c r="G843" s="46"/>
      <c r="H843" s="32"/>
    </row>
    <row r="844" spans="7:8" ht="15.75" customHeight="1">
      <c r="G844" s="46"/>
      <c r="H844" s="32"/>
    </row>
    <row r="845" spans="7:8" ht="15.75" customHeight="1">
      <c r="G845" s="46"/>
      <c r="H845" s="32"/>
    </row>
    <row r="846" spans="7:8" ht="15.75" customHeight="1">
      <c r="G846" s="46"/>
      <c r="H846" s="32"/>
    </row>
    <row r="847" spans="7:8" ht="15.75" customHeight="1">
      <c r="G847" s="46"/>
      <c r="H847" s="32"/>
    </row>
    <row r="848" spans="7:8" ht="15.75" customHeight="1">
      <c r="G848" s="46"/>
      <c r="H848" s="32"/>
    </row>
    <row r="849" spans="7:8" ht="15.75" customHeight="1">
      <c r="G849" s="46"/>
      <c r="H849" s="32"/>
    </row>
  </sheetData>
  <autoFilter ref="C3:J3" xr:uid="{37F0694C-E19A-40E9-8370-B3CAE4C8348D}">
    <sortState ref="C4:J47">
      <sortCondition ref="E3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Ítems</vt:lpstr>
      <vt:lpstr>COSTEO</vt:lpstr>
      <vt:lpstr>analisis 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User</cp:lastModifiedBy>
  <dcterms:created xsi:type="dcterms:W3CDTF">2025-07-19T14:00:27Z</dcterms:created>
  <dcterms:modified xsi:type="dcterms:W3CDTF">2025-07-27T02:15:54Z</dcterms:modified>
</cp:coreProperties>
</file>