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G:\.shortcut-targets-by-id\1CPAsEzrJITH4pMdKpPKzyopO_uMgl6EF\IBL 2025\LICITACIONES 2025\5 PRESENTADAS\FIUNA ID 463576 GG\OFERTA\"/>
    </mc:Choice>
  </mc:AlternateContent>
  <xr:revisionPtr revIDLastSave="0" documentId="13_ncr:1_{0EDE8BF1-E2C9-42D0-81F8-D8FBE87B1689}" xr6:coauthVersionLast="47" xr6:coauthVersionMax="47" xr10:uidLastSave="{00000000-0000-0000-0000-000000000000}"/>
  <bookViews>
    <workbookView xWindow="-109" yWindow="-109" windowWidth="26301" windowHeight="14169" activeTab="1" xr2:uid="{00000000-000D-0000-FFFF-FFFF00000000}"/>
  </bookViews>
  <sheets>
    <sheet name="OFERTA" sheetId="2" r:id="rId1"/>
    <sheet name="COSTEO" sheetId="1" r:id="rId2"/>
  </sheets>
  <definedNames>
    <definedName name="_xlnm._FilterDatabase" localSheetId="1" hidden="1">COSTEO!$A$13:$Z$58</definedName>
    <definedName name="_xlnm._FilterDatabase" localSheetId="0" hidden="1">OFERTA!$A$4:$L$47</definedName>
    <definedName name="A">COSTEO!$X$17</definedName>
    <definedName name="O">COSTEO!$X$15</definedName>
    <definedName name="P">COSTEO!$X$14</definedName>
    <definedName name="SO">COSTEO!$X$16</definedName>
    <definedName name="SP">COSTEO!$X$13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5" i="1" l="1"/>
  <c r="M38" i="1"/>
  <c r="M55" i="1"/>
  <c r="M53" i="1"/>
  <c r="M51" i="1"/>
  <c r="M48" i="1"/>
  <c r="M47" i="1"/>
  <c r="M45" i="1"/>
  <c r="M44" i="1"/>
  <c r="M41" i="1"/>
  <c r="L39" i="1"/>
  <c r="V13" i="1"/>
  <c r="X17" i="1"/>
  <c r="Y17" i="1" s="1"/>
  <c r="W17" i="1"/>
  <c r="X16" i="1"/>
  <c r="Y16" i="1" s="1"/>
  <c r="W16" i="1"/>
  <c r="X15" i="1"/>
  <c r="Y15" i="1" s="1"/>
  <c r="W15" i="1"/>
  <c r="X14" i="1"/>
  <c r="Y14" i="1" s="1"/>
  <c r="W14" i="1"/>
  <c r="X13" i="1"/>
  <c r="Y13" i="1" s="1"/>
  <c r="N49" i="1" l="1"/>
  <c r="N26" i="1"/>
  <c r="N29" i="1"/>
  <c r="N27" i="1"/>
  <c r="N21" i="1"/>
  <c r="N28" i="1"/>
  <c r="N25" i="1"/>
  <c r="N15" i="1"/>
  <c r="N17" i="1"/>
  <c r="N30" i="1"/>
  <c r="N18" i="1"/>
  <c r="N31" i="1"/>
  <c r="N19" i="1"/>
  <c r="N20" i="1"/>
  <c r="N32" i="1"/>
  <c r="N22" i="1"/>
  <c r="N16" i="1"/>
  <c r="N23" i="1"/>
  <c r="N33" i="1"/>
  <c r="N24" i="1"/>
  <c r="N34" i="1"/>
  <c r="W19" i="1"/>
  <c r="W20" i="1" s="1"/>
  <c r="W21" i="1" s="1"/>
  <c r="Y19" i="1"/>
  <c r="Y20" i="1" s="1"/>
  <c r="Y21" i="1" s="1"/>
  <c r="W13" i="1"/>
  <c r="P1" i="1" l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H25" i="1"/>
  <c r="H33" i="1"/>
  <c r="H47" i="1"/>
  <c r="H48" i="1"/>
  <c r="H49" i="1"/>
  <c r="I49" i="1" s="1"/>
  <c r="H50" i="1"/>
  <c r="K50" i="1" s="1"/>
  <c r="H51" i="1"/>
  <c r="I51" i="1" s="1"/>
  <c r="H52" i="1"/>
  <c r="I52" i="1" s="1"/>
  <c r="H53" i="1"/>
  <c r="I53" i="1" s="1"/>
  <c r="H55" i="1"/>
  <c r="I55" i="1" s="1"/>
  <c r="H56" i="1"/>
  <c r="I56" i="1" s="1"/>
  <c r="D1" i="1"/>
  <c r="D4" i="1" s="1"/>
  <c r="H41" i="1"/>
  <c r="I41" i="1" s="1"/>
  <c r="J9" i="1"/>
  <c r="I9" i="1"/>
  <c r="H9" i="1"/>
  <c r="H35" i="1" s="1"/>
  <c r="G9" i="1"/>
  <c r="F9" i="1"/>
  <c r="H26" i="1" s="1"/>
  <c r="E9" i="1"/>
  <c r="H23" i="1" s="1"/>
  <c r="D9" i="1"/>
  <c r="H40" i="1" s="1"/>
  <c r="I40" i="1" s="1"/>
  <c r="P6" i="1"/>
  <c r="P5" i="1"/>
  <c r="P4" i="1"/>
  <c r="U3" i="1"/>
  <c r="V3" i="1" s="1"/>
  <c r="P3" i="1"/>
  <c r="C3" i="1"/>
  <c r="W2" i="1"/>
  <c r="U2" i="1"/>
  <c r="V2" i="1" s="1"/>
  <c r="P2" i="1"/>
  <c r="W1" i="1"/>
  <c r="U1" i="1"/>
  <c r="V1" i="1" s="1"/>
  <c r="G40" i="2" l="1"/>
  <c r="P50" i="1"/>
  <c r="Q50" i="1"/>
  <c r="K25" i="1"/>
  <c r="K48" i="1"/>
  <c r="I47" i="1"/>
  <c r="K47" i="1"/>
  <c r="H17" i="1"/>
  <c r="I17" i="1" s="1"/>
  <c r="H16" i="1"/>
  <c r="I16" i="1" s="1"/>
  <c r="H45" i="1"/>
  <c r="K45" i="1" s="1"/>
  <c r="H34" i="1"/>
  <c r="K34" i="1" s="1"/>
  <c r="H32" i="1"/>
  <c r="I32" i="1" s="1"/>
  <c r="H31" i="1"/>
  <c r="I31" i="1" s="1"/>
  <c r="K33" i="1"/>
  <c r="K23" i="1"/>
  <c r="R23" i="1" s="1"/>
  <c r="K35" i="1"/>
  <c r="R35" i="1" s="1"/>
  <c r="H22" i="1"/>
  <c r="K22" i="1" s="1"/>
  <c r="R22" i="1" s="1"/>
  <c r="I15" i="1"/>
  <c r="H44" i="1"/>
  <c r="I44" i="1" s="1"/>
  <c r="H21" i="1"/>
  <c r="K21" i="1" s="1"/>
  <c r="R21" i="1" s="1"/>
  <c r="H30" i="1"/>
  <c r="I30" i="1" s="1"/>
  <c r="H29" i="1"/>
  <c r="I29" i="1" s="1"/>
  <c r="H46" i="1"/>
  <c r="K46" i="1" s="1"/>
  <c r="H43" i="1"/>
  <c r="I43" i="1" s="1"/>
  <c r="H20" i="1"/>
  <c r="I20" i="1" s="1"/>
  <c r="H42" i="1"/>
  <c r="I42" i="1" s="1"/>
  <c r="H19" i="1"/>
  <c r="I19" i="1" s="1"/>
  <c r="H18" i="1"/>
  <c r="I18" i="1" s="1"/>
  <c r="K26" i="1"/>
  <c r="R26" i="1" s="1"/>
  <c r="I26" i="1"/>
  <c r="H39" i="1"/>
  <c r="I39" i="1" s="1"/>
  <c r="H38" i="1"/>
  <c r="H54" i="1"/>
  <c r="I54" i="1" s="1"/>
  <c r="H28" i="1"/>
  <c r="I28" i="1" s="1"/>
  <c r="H36" i="1"/>
  <c r="K36" i="1" s="1"/>
  <c r="R36" i="1" s="1"/>
  <c r="H24" i="1"/>
  <c r="K24" i="1" s="1"/>
  <c r="R24" i="1" s="1"/>
  <c r="H27" i="1"/>
  <c r="I27" i="1" s="1"/>
  <c r="H37" i="1"/>
  <c r="I33" i="1"/>
  <c r="K49" i="1"/>
  <c r="K56" i="1"/>
  <c r="K55" i="1"/>
  <c r="K53" i="1"/>
  <c r="K52" i="1"/>
  <c r="K51" i="1"/>
  <c r="I50" i="1"/>
  <c r="I48" i="1"/>
  <c r="K40" i="1"/>
  <c r="I35" i="1"/>
  <c r="I25" i="1"/>
  <c r="I23" i="1"/>
  <c r="K41" i="1"/>
  <c r="G13" i="2" l="1"/>
  <c r="P23" i="1"/>
  <c r="Q23" i="1"/>
  <c r="G23" i="2"/>
  <c r="Q33" i="1"/>
  <c r="P33" i="1"/>
  <c r="G14" i="2"/>
  <c r="P24" i="1"/>
  <c r="Q24" i="1"/>
  <c r="G24" i="2"/>
  <c r="Q34" i="1"/>
  <c r="P34" i="1"/>
  <c r="G35" i="2"/>
  <c r="Q45" i="1"/>
  <c r="P45" i="1"/>
  <c r="G41" i="2"/>
  <c r="P51" i="1"/>
  <c r="Q51" i="1"/>
  <c r="G30" i="2"/>
  <c r="P40" i="1"/>
  <c r="Q40" i="1"/>
  <c r="G26" i="2"/>
  <c r="P36" i="1"/>
  <c r="Q36" i="1"/>
  <c r="G36" i="2"/>
  <c r="Q46" i="1"/>
  <c r="P46" i="1"/>
  <c r="G42" i="2"/>
  <c r="P52" i="1"/>
  <c r="Q52" i="1"/>
  <c r="G11" i="2"/>
  <c r="Q21" i="1"/>
  <c r="P21" i="1"/>
  <c r="G43" i="2"/>
  <c r="Q53" i="1"/>
  <c r="P53" i="1"/>
  <c r="P47" i="1"/>
  <c r="Q47" i="1"/>
  <c r="G45" i="2"/>
  <c r="Q55" i="1"/>
  <c r="P55" i="1"/>
  <c r="G46" i="2"/>
  <c r="Q56" i="1"/>
  <c r="P56" i="1"/>
  <c r="G16" i="2"/>
  <c r="P26" i="1"/>
  <c r="Q26" i="1"/>
  <c r="G12" i="2"/>
  <c r="Q22" i="1"/>
  <c r="P22" i="1"/>
  <c r="G38" i="2"/>
  <c r="P48" i="1"/>
  <c r="Q48" i="1"/>
  <c r="Q41" i="1"/>
  <c r="P41" i="1"/>
  <c r="G39" i="2"/>
  <c r="P49" i="1"/>
  <c r="Q49" i="1"/>
  <c r="G25" i="2"/>
  <c r="P35" i="1"/>
  <c r="Q35" i="1"/>
  <c r="P25" i="1"/>
  <c r="Q25" i="1"/>
  <c r="K17" i="1"/>
  <c r="R17" i="1" s="1"/>
  <c r="K16" i="1"/>
  <c r="R16" i="1" s="1"/>
  <c r="K32" i="1"/>
  <c r="I34" i="1"/>
  <c r="I45" i="1"/>
  <c r="K42" i="1"/>
  <c r="K54" i="1"/>
  <c r="G37" i="2"/>
  <c r="G31" i="2"/>
  <c r="W3" i="1"/>
  <c r="K31" i="1"/>
  <c r="K18" i="1"/>
  <c r="R18" i="1" s="1"/>
  <c r="I22" i="1"/>
  <c r="K39" i="1"/>
  <c r="R39" i="1" s="1"/>
  <c r="K19" i="1"/>
  <c r="R19" i="1" s="1"/>
  <c r="I21" i="1"/>
  <c r="K43" i="1"/>
  <c r="K44" i="1"/>
  <c r="K20" i="1"/>
  <c r="R20" i="1" s="1"/>
  <c r="I46" i="1"/>
  <c r="K29" i="1"/>
  <c r="R29" i="1" s="1"/>
  <c r="K30" i="1"/>
  <c r="R30" i="1" s="1"/>
  <c r="K38" i="1"/>
  <c r="R38" i="1" s="1"/>
  <c r="I38" i="1"/>
  <c r="K37" i="1"/>
  <c r="R37" i="1" s="1"/>
  <c r="I37" i="1"/>
  <c r="I36" i="1"/>
  <c r="I24" i="1"/>
  <c r="K27" i="1"/>
  <c r="R27" i="1" s="1"/>
  <c r="K28" i="1"/>
  <c r="R28" i="1" s="1"/>
  <c r="G15" i="2"/>
  <c r="Q1" i="1"/>
  <c r="Q5" i="1"/>
  <c r="G7" i="2" l="1"/>
  <c r="Q17" i="1"/>
  <c r="P17" i="1"/>
  <c r="G44" i="2"/>
  <c r="Q54" i="1"/>
  <c r="P54" i="1"/>
  <c r="G18" i="2"/>
  <c r="P28" i="1"/>
  <c r="Q28" i="1"/>
  <c r="G34" i="2"/>
  <c r="Q44" i="1"/>
  <c r="P44" i="1"/>
  <c r="G32" i="2"/>
  <c r="Q42" i="1"/>
  <c r="P42" i="1"/>
  <c r="P27" i="1"/>
  <c r="Q27" i="1"/>
  <c r="G33" i="2"/>
  <c r="Q43" i="1"/>
  <c r="P43" i="1"/>
  <c r="G9" i="2"/>
  <c r="Q19" i="1"/>
  <c r="P19" i="1"/>
  <c r="G22" i="2"/>
  <c r="Q32" i="1"/>
  <c r="P32" i="1"/>
  <c r="G29" i="2"/>
  <c r="P39" i="1"/>
  <c r="Q39" i="1"/>
  <c r="P16" i="1"/>
  <c r="Q16" i="1"/>
  <c r="G27" i="2"/>
  <c r="P37" i="1"/>
  <c r="Q37" i="1"/>
  <c r="G8" i="2"/>
  <c r="Q18" i="1"/>
  <c r="P18" i="1"/>
  <c r="G28" i="2"/>
  <c r="P38" i="1"/>
  <c r="Q38" i="1"/>
  <c r="Q31" i="1"/>
  <c r="P31" i="1"/>
  <c r="G19" i="2"/>
  <c r="Q29" i="1"/>
  <c r="P29" i="1"/>
  <c r="G10" i="2"/>
  <c r="Q20" i="1"/>
  <c r="P20" i="1"/>
  <c r="G20" i="2"/>
  <c r="Q30" i="1"/>
  <c r="P30" i="1"/>
  <c r="Q2" i="1"/>
  <c r="G21" i="2"/>
  <c r="I57" i="1"/>
  <c r="Q3" i="1"/>
  <c r="G17" i="2"/>
  <c r="Q4" i="1"/>
  <c r="O15" i="1" l="1"/>
  <c r="K15" i="1" l="1"/>
  <c r="R15" i="1" s="1"/>
  <c r="R59" i="1" s="1"/>
  <c r="G6" i="2"/>
  <c r="O58" i="1"/>
  <c r="Q15" i="1" l="1"/>
  <c r="P15" i="1"/>
  <c r="K57" i="1"/>
  <c r="G5" i="2"/>
  <c r="H5" i="2" s="1"/>
  <c r="Q6" i="1"/>
  <c r="R7" i="1" s="1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E2" i="1" l="1"/>
  <c r="D2" i="1"/>
  <c r="R6" i="1"/>
  <c r="X3" i="1"/>
  <c r="R4" i="1"/>
  <c r="R5" i="1"/>
  <c r="R1" i="1"/>
  <c r="X2" i="1"/>
  <c r="R3" i="1"/>
  <c r="X1" i="1"/>
  <c r="R2" i="1"/>
  <c r="H47" i="2"/>
  <c r="H50" i="2" s="1"/>
  <c r="E1" i="1" l="1"/>
  <c r="E3" i="1"/>
  <c r="I60" i="1"/>
  <c r="D5" i="1"/>
  <c r="R8" i="1" l="1"/>
  <c r="D3" i="1" s="1"/>
</calcChain>
</file>

<file path=xl/sharedStrings.xml><?xml version="1.0" encoding="utf-8"?>
<sst xmlns="http://schemas.openxmlformats.org/spreadsheetml/2006/main" count="488" uniqueCount="99">
  <si>
    <t>Licitación: 463576 - MANTENIMIENTO PREVENTIVO Y CORRECTIVO DE GRUPO GENERADOR - CONTRATO ABIERTO PLURIANUAL</t>
  </si>
  <si>
    <t>Grupo 1 - MANTENIMIENTO PREVENTIVO Y CORRECTIVO DE GENERADOR CATERPILLAR GEP88 DE 88KVA.               Contrato Abierto:  Por Monto (Mínimo: 50000000 Máximo: 100000000),     Abastecimiento Simultaneo: No</t>
  </si>
  <si>
    <t>Ítem</t>
  </si>
  <si>
    <t>Código Catálogo</t>
  </si>
  <si>
    <t>Descripción</t>
  </si>
  <si>
    <t>Atributos</t>
  </si>
  <si>
    <t>Cantidad</t>
  </si>
  <si>
    <t>Monto</t>
  </si>
  <si>
    <t>Precio Unitario (IVA Incluido)</t>
  </si>
  <si>
    <t>Precio Total</t>
  </si>
  <si>
    <t>Caracteristicas</t>
  </si>
  <si>
    <t>80111613-9999</t>
  </si>
  <si>
    <t>Mano de obra p/ cambio de filtro de aire.</t>
  </si>
  <si>
    <t>unidad de medida: Unidad
presentación: EVENTO</t>
  </si>
  <si>
    <t>mínimo: 0,00
máximo: 0,00</t>
  </si>
  <si>
    <t xml:space="preserve">procedencia: </t>
  </si>
  <si>
    <t>Mano de obra p/cambio de filtro de aceite.</t>
  </si>
  <si>
    <t>Mano de obra p/ Cambio de filtro de combustible.</t>
  </si>
  <si>
    <t xml:space="preserve">Mano de obra p/ cambio de aceite de motor. </t>
  </si>
  <si>
    <t>Mano de obra p/ cambio de refrigerante para radiador.</t>
  </si>
  <si>
    <t>72102201-006</t>
  </si>
  <si>
    <t>Revisi｢n y ajustes de sistema elＤtrico del panel de control del generador.</t>
  </si>
  <si>
    <t>Control del estado de los sistemas del equipo: Combustible, ventilaci｢n, lubricaci｢n y arranque.</t>
  </si>
  <si>
    <t xml:space="preserve">Revisiвn del estado de parаmetros mecаnicos (presiвn de aceite, temperatura, RPM) </t>
  </si>
  <si>
    <t>Revisiвn del estado de parаmetros elВctricos (tensiвn, frecuencia)</t>
  </si>
  <si>
    <t>Chequeo de funcionamiento del indicador de nivel de combustible y del indicador del filtro de aire.</t>
  </si>
  <si>
    <t>Chequeo de cables sueltos flojos, pelados, quemados, da兀dos, terminales flojos.</t>
  </si>
  <si>
    <t>Chequeo de protectores en mal estado o flojos, ajuste de soportes.</t>
  </si>
  <si>
    <t>Prueba de funcionamiento de los indicadores luminosos.</t>
  </si>
  <si>
    <t>Limpieza de conectores de bater｛</t>
  </si>
  <si>
    <t>Pruebas de motor en vac｡o y en carga.</t>
  </si>
  <si>
    <t xml:space="preserve">Mano de obra por configuraci｢n y programaci｢n de panel de control Caterpillar. </t>
  </si>
  <si>
    <t>Mano de obra por configuraci｢n y calibraci｢n del sensor de presi｢n de aceite.</t>
  </si>
  <si>
    <t>Mano de obra por instalaci｢n y fijaci｢n de supresor de picos para protecci｢n de conexi｢n RS485 del panel de control.</t>
  </si>
  <si>
    <t>Inspecci｢n / ajuste de correas de alternador y ventilador</t>
  </si>
  <si>
    <t>Chequeo de soporte motor</t>
  </si>
  <si>
    <t>Provisi｢n de Filtro de aire CATERPILLAR 110-6326.</t>
  </si>
  <si>
    <t>Provisi｢n de Filtro de aceite CATERPILLAR 7W 2326.</t>
  </si>
  <si>
    <t>Provisi｢n de Filtro de combustible.</t>
  </si>
  <si>
    <t>Provisi｢n de balde de 20 (veinte) litros de aceite lubricante CATERPILLAR 15W40.</t>
  </si>
  <si>
    <t>Provisi｢n de balde de 20 (veinte)  litros de refrigerante para radiador original.</t>
  </si>
  <si>
    <t>Provisi｢n y cambio de bater｡a, CATERPILLAR de 12 volt, 65 Ah.</t>
  </si>
  <si>
    <t>Provisi｢n y cambio de panel de control Caterpillar PowerWizard 1.1, incluyendo programaci｢n.</t>
  </si>
  <si>
    <t>Provisi｢n y cambio de sensor de presi｢n de aceite, incluyendo la configuraci｢n.</t>
  </si>
  <si>
    <t>Provisi｢n y cambio de supresor de picos para protecci｢n de conexi｢n RS485 del Panel de Control.</t>
  </si>
  <si>
    <t>Provisi｢n y cambio de mangueras y abrazaderas (entre motor y radiador).</t>
  </si>
  <si>
    <t>Provisi｢n y cambio de correa de alternador y ventilador.</t>
  </si>
  <si>
    <t>Provisi｢n y colocaci｢n de conmutador.</t>
  </si>
  <si>
    <t>Inyectores de combustible - Probar/Cambiar.</t>
  </si>
  <si>
    <t>Provisi｢n y cambio de alternador.</t>
  </si>
  <si>
    <t>Limpieza y prueba del nθleo del postenfriador.</t>
  </si>
  <si>
    <t>Provisi｢n y cambio de soporte de motor.</t>
  </si>
  <si>
    <t>Provisi｢n y cambio de rodamiento trasero del generador.</t>
  </si>
  <si>
    <t>Provisi｢n y cambio de mangueras y abrazaderas en sistema de combustible (entrada y retroceso).</t>
  </si>
  <si>
    <t>Provisi｢n y cambio de bomba elＤtrica de combustible</t>
  </si>
  <si>
    <t>Provisi｢n y cambio de calentador de refrigerante</t>
  </si>
  <si>
    <t>Provisi｢n y cambio de mangueras y abrazaderas (entre motor y calentador de refrigerante)</t>
  </si>
  <si>
    <t>Provisi｢n y cambio de terminales para bater｡a</t>
  </si>
  <si>
    <t>Total por Grupo:</t>
  </si>
  <si>
    <t>Total General Calculado:</t>
  </si>
  <si>
    <t>Firma</t>
  </si>
  <si>
    <t>Nombre:</t>
  </si>
  <si>
    <t>[indicar el nombre completo de la persona que firma el Formulario de la Oferta]</t>
  </si>
  <si>
    <t>En calidad de:</t>
  </si>
  <si>
    <t>[indicar la calidad jurídica de la persona que firma el Formulario de la Oferta]</t>
  </si>
  <si>
    <t xml:space="preserve">COSTO DE MATERIALES </t>
  </si>
  <si>
    <t xml:space="preserve">COSTO DE MANO DE OBRA </t>
  </si>
  <si>
    <t xml:space="preserve">COSTO TOTAL </t>
  </si>
  <si>
    <t>PRECIO REFERENCIAL</t>
  </si>
  <si>
    <t>Referencial</t>
  </si>
  <si>
    <t>factor x ref</t>
  </si>
  <si>
    <t>Oferta</t>
  </si>
  <si>
    <t>factor x cos</t>
  </si>
  <si>
    <t>Meta de oferta</t>
  </si>
  <si>
    <t>Diferencia</t>
  </si>
  <si>
    <t>Se hace poco</t>
  </si>
  <si>
    <t>Se hace</t>
  </si>
  <si>
    <t>Se hace muchisimo</t>
  </si>
  <si>
    <t>No mires</t>
  </si>
  <si>
    <t>No entendes?. NO MIRES</t>
  </si>
  <si>
    <t>% del referencial</t>
  </si>
  <si>
    <t>Costo de MDO</t>
  </si>
  <si>
    <t xml:space="preserve">Descripción </t>
  </si>
  <si>
    <t>Costo unitario</t>
  </si>
  <si>
    <t xml:space="preserve">Costo total </t>
  </si>
  <si>
    <t>Jornal con IPS</t>
  </si>
  <si>
    <t>Costo total con IPS</t>
  </si>
  <si>
    <t>Supervisor</t>
  </si>
  <si>
    <t xml:space="preserve">Puntero </t>
  </si>
  <si>
    <t xml:space="preserve">Oficial </t>
  </si>
  <si>
    <t xml:space="preserve">Semioficial </t>
  </si>
  <si>
    <t>Ayudante</t>
  </si>
  <si>
    <t xml:space="preserve">Costo por dia </t>
  </si>
  <si>
    <t xml:space="preserve">Dias costeados </t>
  </si>
  <si>
    <t>Meses costeados</t>
  </si>
  <si>
    <t>procedencia: Paraguay</t>
  </si>
  <si>
    <t>procedencia: Estados unidos</t>
  </si>
  <si>
    <t>Lorena Estefania Silva Ruiz</t>
  </si>
  <si>
    <t>Representante legal de IBL Ingeniería SRL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</si>
</sst>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 * #,##0_ ;_ * \-#,##0_ ;_ * &quot;-&quot;_ ;_ @_ "/>
    <numFmt numFmtId="164" formatCode="_ * #,##0.00_ ;_ * \-#,##0.00_ ;_ * &quot;-&quot;_ ;_ @_ "/>
    <numFmt numFmtId="165" formatCode="0.000%"/>
    <numFmt numFmtId="166" formatCode="_ * #,##0.000_ ;_ * \-#,##0.000_ ;_ * &quot;-&quot;_ ;_ @_ "/>
    <numFmt numFmtId="167" formatCode="_ * #,##0_ ;_ * \-#,##0_ ;_ * \-_ ;_ @_ "/>
    <numFmt numFmtId="168" formatCode="_ * #,##0.00_ ;_ * \-#,##0.00_ ;_ * \-_ ;_ @_ "/>
  </numFmts>
  <fonts count="14" x14ac:knownFonts="1">
    <font>
      <sz val="11"/>
      <color rgb="FF000000"/>
      <name val="Calibri"/>
    </font>
    <font>
      <sz val="16"/>
      <color rgb="FF000000"/>
      <name val="Calibri"/>
    </font>
    <font>
      <sz val="13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2"/>
      <color rgb="FF000000"/>
      <name val="Calibri"/>
      <family val="2"/>
    </font>
    <font>
      <b/>
      <sz val="14"/>
      <color rgb="FF000000"/>
      <name val="Calibri"/>
      <family val="2"/>
    </font>
    <font>
      <sz val="11"/>
      <color rgb="FF000000"/>
      <name val="Calibri"/>
      <family val="2"/>
    </font>
    <font>
      <b/>
      <sz val="14"/>
      <color theme="0"/>
      <name val="Calibri"/>
      <family val="2"/>
    </font>
    <font>
      <b/>
      <sz val="14"/>
      <color rgb="FFFFFFFF"/>
      <name val="Calibri"/>
      <family val="2"/>
    </font>
    <font>
      <sz val="11"/>
      <color rgb="FF000000"/>
      <name val="Arial"/>
      <family val="2"/>
    </font>
    <font>
      <sz val="11"/>
      <name val="Calibri"/>
      <family val="2"/>
    </font>
    <font>
      <sz val="11"/>
      <color theme="1"/>
      <name val="Arial"/>
      <family val="2"/>
    </font>
    <font>
      <sz val="12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E5E5E5"/>
        <bgColor rgb="FF000000"/>
      </patternFill>
    </fill>
    <fill>
      <patternFill patternType="solid">
        <fgColor rgb="FFF5F5F5"/>
        <bgColor rgb="FF000000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6DDE8"/>
        <bgColor rgb="FFB6DDE8"/>
      </patternFill>
    </fill>
    <fill>
      <patternFill patternType="solid">
        <fgColor rgb="FF92D050"/>
        <bgColor rgb="FF92D050"/>
      </patternFill>
    </fill>
    <fill>
      <patternFill patternType="solid">
        <fgColor rgb="FFFFC000"/>
        <bgColor rgb="FFFFC000"/>
      </patternFill>
    </fill>
    <fill>
      <patternFill patternType="solid">
        <fgColor rgb="FF00B0F0"/>
        <bgColor rgb="FF00B0F0"/>
      </patternFill>
    </fill>
  </fills>
  <borders count="8">
    <border>
      <left/>
      <right/>
      <top/>
      <bottom/>
      <diagonal/>
    </border>
    <border>
      <left/>
      <right/>
      <top style="hair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41" fontId="4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88">
    <xf numFmtId="0" fontId="0" fillId="0" borderId="0" xfId="0"/>
    <xf numFmtId="0" fontId="0" fillId="0" borderId="0" xfId="0" applyAlignment="1">
      <alignment vertical="center" wrapText="1"/>
    </xf>
    <xf numFmtId="0" fontId="0" fillId="0" borderId="2" xfId="0" applyBorder="1" applyAlignment="1">
      <alignment vertical="center" wrapText="1"/>
    </xf>
    <xf numFmtId="0" fontId="3" fillId="3" borderId="2" xfId="0" applyFont="1" applyFill="1" applyBorder="1" applyAlignment="1">
      <alignment vertical="center" wrapText="1"/>
    </xf>
    <xf numFmtId="0" fontId="0" fillId="0" borderId="2" xfId="0" applyBorder="1" applyAlignment="1">
      <alignment horizontal="center" vertical="center" wrapText="1"/>
    </xf>
    <xf numFmtId="4" fontId="0" fillId="0" borderId="2" xfId="0" applyNumberFormat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4" fontId="1" fillId="2" borderId="2" xfId="0" applyNumberFormat="1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0" xfId="0" applyAlignment="1">
      <alignment horizontal="center" vertical="center" wrapText="1"/>
    </xf>
    <xf numFmtId="41" fontId="0" fillId="4" borderId="0" xfId="1" applyFont="1" applyFill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41" fontId="6" fillId="4" borderId="2" xfId="1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41" fontId="0" fillId="4" borderId="2" xfId="1" applyFont="1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41" fontId="7" fillId="0" borderId="0" xfId="0" applyNumberFormat="1" applyFont="1" applyAlignment="1">
      <alignment vertical="center" wrapText="1"/>
    </xf>
    <xf numFmtId="9" fontId="7" fillId="0" borderId="0" xfId="0" applyNumberFormat="1" applyFont="1" applyAlignment="1">
      <alignment vertical="center" wrapText="1"/>
    </xf>
    <xf numFmtId="41" fontId="7" fillId="6" borderId="3" xfId="0" applyNumberFormat="1" applyFont="1" applyFill="1" applyBorder="1" applyAlignment="1">
      <alignment vertical="center"/>
    </xf>
    <xf numFmtId="41" fontId="7" fillId="6" borderId="4" xfId="0" applyNumberFormat="1" applyFont="1" applyFill="1" applyBorder="1" applyAlignment="1">
      <alignment vertical="center"/>
    </xf>
    <xf numFmtId="10" fontId="7" fillId="6" borderId="4" xfId="0" applyNumberFormat="1" applyFont="1" applyFill="1" applyBorder="1" applyAlignment="1">
      <alignment vertical="center"/>
    </xf>
    <xf numFmtId="41" fontId="7" fillId="6" borderId="4" xfId="0" applyNumberFormat="1" applyFont="1" applyFill="1" applyBorder="1" applyAlignment="1">
      <alignment vertical="center" wrapText="1"/>
    </xf>
    <xf numFmtId="41" fontId="7" fillId="6" borderId="5" xfId="0" applyNumberFormat="1" applyFont="1" applyFill="1" applyBorder="1" applyAlignment="1">
      <alignment vertical="center"/>
    </xf>
    <xf numFmtId="10" fontId="7" fillId="6" borderId="5" xfId="0" applyNumberFormat="1" applyFont="1" applyFill="1" applyBorder="1" applyAlignment="1">
      <alignment vertical="center"/>
    </xf>
    <xf numFmtId="41" fontId="0" fillId="0" borderId="0" xfId="1" applyFont="1" applyAlignment="1">
      <alignment vertical="center"/>
    </xf>
    <xf numFmtId="9" fontId="7" fillId="0" borderId="0" xfId="2" applyFont="1" applyAlignment="1">
      <alignment vertical="center" wrapText="1"/>
    </xf>
    <xf numFmtId="41" fontId="7" fillId="0" borderId="3" xfId="0" applyNumberFormat="1" applyFont="1" applyBorder="1" applyAlignment="1">
      <alignment vertical="center"/>
    </xf>
    <xf numFmtId="41" fontId="7" fillId="0" borderId="4" xfId="0" applyNumberFormat="1" applyFont="1" applyBorder="1" applyAlignment="1">
      <alignment vertical="center"/>
    </xf>
    <xf numFmtId="10" fontId="7" fillId="0" borderId="4" xfId="0" applyNumberFormat="1" applyFont="1" applyBorder="1" applyAlignment="1">
      <alignment vertical="center"/>
    </xf>
    <xf numFmtId="41" fontId="7" fillId="0" borderId="2" xfId="0" applyNumberFormat="1" applyFont="1" applyBorder="1" applyAlignment="1">
      <alignment vertical="center"/>
    </xf>
    <xf numFmtId="10" fontId="7" fillId="0" borderId="2" xfId="0" applyNumberFormat="1" applyFont="1" applyBorder="1" applyAlignment="1">
      <alignment vertical="center"/>
    </xf>
    <xf numFmtId="165" fontId="7" fillId="0" borderId="0" xfId="0" applyNumberFormat="1" applyFont="1" applyAlignment="1">
      <alignment vertical="center" wrapText="1"/>
    </xf>
    <xf numFmtId="10" fontId="7" fillId="0" borderId="0" xfId="2" applyNumberFormat="1" applyFont="1" applyAlignment="1">
      <alignment vertical="center" wrapText="1"/>
    </xf>
    <xf numFmtId="41" fontId="7" fillId="6" borderId="2" xfId="0" applyNumberFormat="1" applyFont="1" applyFill="1" applyBorder="1" applyAlignment="1">
      <alignment vertical="center"/>
    </xf>
    <xf numFmtId="10" fontId="7" fillId="6" borderId="2" xfId="0" applyNumberFormat="1" applyFont="1" applyFill="1" applyBorder="1" applyAlignment="1">
      <alignment vertical="center"/>
    </xf>
    <xf numFmtId="0" fontId="7" fillId="0" borderId="0" xfId="0" applyFont="1" applyAlignment="1">
      <alignment vertical="center"/>
    </xf>
    <xf numFmtId="41" fontId="7" fillId="0" borderId="0" xfId="0" applyNumberFormat="1" applyFont="1" applyAlignment="1">
      <alignment vertical="center"/>
    </xf>
    <xf numFmtId="9" fontId="7" fillId="0" borderId="0" xfId="0" applyNumberFormat="1" applyFont="1" applyAlignment="1">
      <alignment vertical="center"/>
    </xf>
    <xf numFmtId="41" fontId="7" fillId="0" borderId="0" xfId="1" applyFont="1" applyAlignment="1">
      <alignment vertical="center" wrapText="1"/>
    </xf>
    <xf numFmtId="0" fontId="8" fillId="7" borderId="4" xfId="0" applyFont="1" applyFill="1" applyBorder="1" applyAlignment="1">
      <alignment vertical="center" wrapText="1"/>
    </xf>
    <xf numFmtId="41" fontId="8" fillId="7" borderId="4" xfId="0" applyNumberFormat="1" applyFont="1" applyFill="1" applyBorder="1" applyAlignment="1">
      <alignment vertical="center" wrapText="1"/>
    </xf>
    <xf numFmtId="0" fontId="8" fillId="7" borderId="6" xfId="0" applyFont="1" applyFill="1" applyBorder="1" applyAlignment="1">
      <alignment vertical="center" wrapText="1"/>
    </xf>
    <xf numFmtId="10" fontId="7" fillId="0" borderId="0" xfId="0" applyNumberFormat="1" applyFont="1" applyAlignment="1">
      <alignment vertical="center" wrapText="1"/>
    </xf>
    <xf numFmtId="164" fontId="8" fillId="7" borderId="4" xfId="0" applyNumberFormat="1" applyFont="1" applyFill="1" applyBorder="1" applyAlignment="1">
      <alignment vertical="center" wrapText="1"/>
    </xf>
    <xf numFmtId="164" fontId="9" fillId="7" borderId="4" xfId="0" applyNumberFormat="1" applyFont="1" applyFill="1" applyBorder="1" applyAlignment="1">
      <alignment vertical="center" wrapText="1"/>
    </xf>
    <xf numFmtId="164" fontId="8" fillId="7" borderId="6" xfId="0" applyNumberFormat="1" applyFont="1" applyFill="1" applyBorder="1" applyAlignment="1">
      <alignment vertical="center" wrapText="1"/>
    </xf>
    <xf numFmtId="41" fontId="0" fillId="5" borderId="2" xfId="1" applyFont="1" applyFill="1" applyBorder="1" applyAlignment="1">
      <alignment horizontal="center" vertical="center" wrapText="1"/>
    </xf>
    <xf numFmtId="41" fontId="0" fillId="5" borderId="0" xfId="1" applyFont="1" applyFill="1" applyAlignment="1">
      <alignment horizontal="center" vertical="center" wrapText="1"/>
    </xf>
    <xf numFmtId="0" fontId="0" fillId="0" borderId="0" xfId="0" applyAlignment="1">
      <alignment vertical="center"/>
    </xf>
    <xf numFmtId="9" fontId="0" fillId="0" borderId="2" xfId="2" applyFont="1" applyBorder="1" applyAlignment="1">
      <alignment vertical="center"/>
    </xf>
    <xf numFmtId="0" fontId="0" fillId="0" borderId="2" xfId="0" applyBorder="1" applyAlignment="1">
      <alignment vertical="center"/>
    </xf>
    <xf numFmtId="164" fontId="0" fillId="0" borderId="0" xfId="1" applyNumberFormat="1" applyFont="1" applyAlignment="1">
      <alignment vertical="center"/>
    </xf>
    <xf numFmtId="0" fontId="0" fillId="5" borderId="0" xfId="0" applyFill="1" applyAlignment="1">
      <alignment vertical="center" wrapText="1"/>
    </xf>
    <xf numFmtId="167" fontId="10" fillId="9" borderId="4" xfId="0" applyNumberFormat="1" applyFont="1" applyFill="1" applyBorder="1" applyAlignment="1">
      <alignment horizontal="center" vertical="center" wrapText="1"/>
    </xf>
    <xf numFmtId="167" fontId="10" fillId="0" borderId="4" xfId="0" applyNumberFormat="1" applyFont="1" applyBorder="1" applyAlignment="1">
      <alignment horizontal="left" vertical="center" wrapText="1"/>
    </xf>
    <xf numFmtId="0" fontId="12" fillId="0" borderId="0" xfId="0" applyFont="1" applyAlignment="1">
      <alignment wrapText="1"/>
    </xf>
    <xf numFmtId="167" fontId="10" fillId="0" borderId="6" xfId="0" applyNumberFormat="1" applyFont="1" applyBorder="1" applyAlignment="1">
      <alignment horizontal="left" vertical="center" wrapText="1"/>
    </xf>
    <xf numFmtId="167" fontId="10" fillId="0" borderId="7" xfId="0" applyNumberFormat="1" applyFont="1" applyBorder="1" applyAlignment="1">
      <alignment horizontal="left" vertical="center" wrapText="1"/>
    </xf>
    <xf numFmtId="167" fontId="10" fillId="0" borderId="3" xfId="0" applyNumberFormat="1" applyFont="1" applyBorder="1" applyAlignment="1">
      <alignment horizontal="left" vertical="center" wrapText="1"/>
    </xf>
    <xf numFmtId="168" fontId="10" fillId="0" borderId="4" xfId="0" applyNumberFormat="1" applyFont="1" applyBorder="1" applyAlignment="1">
      <alignment horizontal="left" vertical="center" wrapText="1"/>
    </xf>
    <xf numFmtId="41" fontId="0" fillId="0" borderId="0" xfId="1" applyFont="1" applyAlignment="1">
      <alignment vertical="center" wrapText="1"/>
    </xf>
    <xf numFmtId="0" fontId="7" fillId="0" borderId="2" xfId="0" applyFont="1" applyBorder="1" applyAlignment="1">
      <alignment vertical="center" wrapText="1"/>
    </xf>
    <xf numFmtId="9" fontId="0" fillId="0" borderId="0" xfId="2" applyFont="1" applyAlignment="1">
      <alignment horizontal="center" vertical="center" wrapText="1"/>
    </xf>
    <xf numFmtId="41" fontId="0" fillId="0" borderId="0" xfId="0" applyNumberFormat="1" applyAlignment="1">
      <alignment vertical="center" wrapText="1"/>
    </xf>
    <xf numFmtId="166" fontId="8" fillId="7" borderId="4" xfId="0" applyNumberFormat="1" applyFont="1" applyFill="1" applyBorder="1" applyAlignment="1">
      <alignment vertical="center" wrapText="1"/>
    </xf>
    <xf numFmtId="9" fontId="0" fillId="0" borderId="0" xfId="2" applyFont="1" applyAlignment="1">
      <alignment vertical="center" wrapText="1"/>
    </xf>
    <xf numFmtId="0" fontId="13" fillId="0" borderId="0" xfId="0" applyFont="1" applyAlignment="1">
      <alignment vertical="center" wrapText="1"/>
    </xf>
    <xf numFmtId="0" fontId="13" fillId="0" borderId="2" xfId="0" applyFont="1" applyBorder="1" applyAlignment="1">
      <alignment vertical="center" wrapText="1"/>
    </xf>
    <xf numFmtId="41" fontId="13" fillId="0" borderId="2" xfId="1" applyFont="1" applyBorder="1" applyAlignment="1">
      <alignment vertical="center" wrapText="1"/>
    </xf>
    <xf numFmtId="0" fontId="13" fillId="0" borderId="2" xfId="0" applyFont="1" applyBorder="1" applyAlignment="1">
      <alignment horizontal="center" vertical="center" wrapText="1"/>
    </xf>
    <xf numFmtId="4" fontId="13" fillId="0" borderId="2" xfId="0" applyNumberFormat="1" applyFont="1" applyBorder="1" applyAlignment="1">
      <alignment vertical="center" wrapText="1"/>
    </xf>
    <xf numFmtId="41" fontId="13" fillId="0" borderId="0" xfId="1" applyFont="1" applyAlignment="1">
      <alignment vertical="center" wrapText="1"/>
    </xf>
    <xf numFmtId="41" fontId="13" fillId="2" borderId="2" xfId="1" applyFont="1" applyFill="1" applyBorder="1" applyAlignment="1">
      <alignment vertical="center" wrapText="1"/>
    </xf>
    <xf numFmtId="0" fontId="13" fillId="0" borderId="1" xfId="0" applyFont="1" applyBorder="1" applyAlignment="1">
      <alignment vertical="center" wrapText="1"/>
    </xf>
    <xf numFmtId="0" fontId="5" fillId="3" borderId="2" xfId="0" applyFont="1" applyFill="1" applyBorder="1" applyAlignment="1">
      <alignment horizontal="center" vertical="center" wrapText="1"/>
    </xf>
    <xf numFmtId="41" fontId="5" fillId="3" borderId="2" xfId="1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2" borderId="2" xfId="0" applyFont="1" applyFill="1" applyBorder="1" applyAlignment="1">
      <alignment horizontal="center" vertical="center" wrapText="1"/>
    </xf>
    <xf numFmtId="0" fontId="13" fillId="0" borderId="2" xfId="0" applyFont="1" applyBorder="1" applyAlignment="1">
      <alignment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167" fontId="10" fillId="8" borderId="6" xfId="0" applyNumberFormat="1" applyFont="1" applyFill="1" applyBorder="1" applyAlignment="1">
      <alignment horizontal="center" vertical="center" wrapText="1"/>
    </xf>
    <xf numFmtId="0" fontId="11" fillId="0" borderId="7" xfId="0" applyFont="1" applyBorder="1"/>
    <xf numFmtId="0" fontId="11" fillId="0" borderId="3" xfId="0" applyFont="1" applyBorder="1"/>
    <xf numFmtId="167" fontId="10" fillId="0" borderId="6" xfId="0" applyNumberFormat="1" applyFont="1" applyBorder="1" applyAlignment="1">
      <alignment horizontal="center" vertical="center" wrapText="1"/>
    </xf>
    <xf numFmtId="167" fontId="10" fillId="0" borderId="7" xfId="0" applyNumberFormat="1" applyFont="1" applyBorder="1" applyAlignment="1">
      <alignment horizontal="center" vertical="center" wrapText="1"/>
    </xf>
    <xf numFmtId="167" fontId="10" fillId="0" borderId="3" xfId="0" applyNumberFormat="1" applyFont="1" applyBorder="1" applyAlignment="1">
      <alignment horizontal="center" vertical="center" wrapText="1"/>
    </xf>
  </cellXfs>
  <cellStyles count="3">
    <cellStyle name="Millares [0]" xfId="1" builtinId="6"/>
    <cellStyle name="Normal" xfId="0" builtinId="0"/>
    <cellStyle name="Porcentaje" xfId="2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0ADFC-88C6-4EF6-8AE8-646F562AA031}">
  <dimension ref="A1:I56"/>
  <sheetViews>
    <sheetView showGridLines="0" view="pageBreakPreview" zoomScale="60" zoomScaleNormal="70" workbookViewId="0">
      <selection activeCell="L46" sqref="L46"/>
    </sheetView>
  </sheetViews>
  <sheetFormatPr baseColWidth="10" defaultColWidth="8.875" defaultRowHeight="16.3" x14ac:dyDescent="0.25"/>
  <cols>
    <col min="1" max="1" width="8.625" style="67" bestFit="1" customWidth="1"/>
    <col min="2" max="2" width="19.375" style="67" bestFit="1" customWidth="1"/>
    <col min="3" max="3" width="59" style="67" bestFit="1" customWidth="1"/>
    <col min="4" max="4" width="26.125" style="67" bestFit="1" customWidth="1"/>
    <col min="5" max="5" width="12.75" style="67" bestFit="1" customWidth="1"/>
    <col min="6" max="6" width="18.75" style="77" customWidth="1"/>
    <col min="7" max="7" width="31.875" style="72" bestFit="1" customWidth="1"/>
    <col min="8" max="8" width="15.75" style="72" bestFit="1" customWidth="1"/>
    <col min="9" max="9" width="21.75" style="77" customWidth="1"/>
    <col min="10" max="16384" width="8.875" style="67"/>
  </cols>
  <sheetData>
    <row r="1" spans="1:9" x14ac:dyDescent="0.25">
      <c r="A1" s="78" t="s">
        <v>0</v>
      </c>
      <c r="B1" s="78"/>
      <c r="C1" s="78"/>
      <c r="D1" s="78"/>
      <c r="E1" s="78"/>
      <c r="F1" s="78"/>
      <c r="G1" s="78"/>
      <c r="H1" s="78"/>
      <c r="I1" s="78"/>
    </row>
    <row r="2" spans="1:9" x14ac:dyDescent="0.25">
      <c r="A2" s="68"/>
      <c r="B2" s="68"/>
      <c r="C2" s="68"/>
      <c r="D2" s="68"/>
      <c r="E2" s="68"/>
      <c r="F2" s="70"/>
      <c r="G2" s="69"/>
      <c r="H2" s="69"/>
      <c r="I2" s="70"/>
    </row>
    <row r="3" spans="1:9" x14ac:dyDescent="0.25">
      <c r="A3" s="79" t="s">
        <v>1</v>
      </c>
      <c r="B3" s="79"/>
      <c r="C3" s="79"/>
      <c r="D3" s="79"/>
      <c r="E3" s="79"/>
      <c r="F3" s="79"/>
      <c r="G3" s="79"/>
      <c r="H3" s="79"/>
      <c r="I3" s="79"/>
    </row>
    <row r="4" spans="1:9" s="77" customFormat="1" x14ac:dyDescent="0.25">
      <c r="A4" s="75" t="s">
        <v>2</v>
      </c>
      <c r="B4" s="75" t="s">
        <v>3</v>
      </c>
      <c r="C4" s="75" t="s">
        <v>4</v>
      </c>
      <c r="D4" s="75" t="s">
        <v>5</v>
      </c>
      <c r="E4" s="75" t="s">
        <v>6</v>
      </c>
      <c r="F4" s="75" t="s">
        <v>7</v>
      </c>
      <c r="G4" s="76" t="s">
        <v>8</v>
      </c>
      <c r="H4" s="76" t="s">
        <v>9</v>
      </c>
      <c r="I4" s="75" t="s">
        <v>10</v>
      </c>
    </row>
    <row r="5" spans="1:9" ht="32.6" x14ac:dyDescent="0.25">
      <c r="A5" s="70">
        <v>1</v>
      </c>
      <c r="B5" s="68" t="s">
        <v>11</v>
      </c>
      <c r="C5" s="68" t="s">
        <v>12</v>
      </c>
      <c r="D5" s="68" t="s">
        <v>13</v>
      </c>
      <c r="E5" s="71">
        <v>1</v>
      </c>
      <c r="F5" s="70" t="s">
        <v>14</v>
      </c>
      <c r="G5" s="69">
        <f>+VLOOKUP(A5,COSTEO!B:O,10,0)</f>
        <v>187900</v>
      </c>
      <c r="H5" s="69">
        <f t="shared" ref="H5:H46" si="0">G5*1</f>
        <v>187900</v>
      </c>
      <c r="I5" s="70" t="s">
        <v>95</v>
      </c>
    </row>
    <row r="6" spans="1:9" ht="32.6" x14ac:dyDescent="0.25">
      <c r="A6" s="70">
        <v>2</v>
      </c>
      <c r="B6" s="68" t="s">
        <v>11</v>
      </c>
      <c r="C6" s="68" t="s">
        <v>16</v>
      </c>
      <c r="D6" s="68" t="s">
        <v>13</v>
      </c>
      <c r="E6" s="71">
        <v>1</v>
      </c>
      <c r="F6" s="70" t="s">
        <v>14</v>
      </c>
      <c r="G6" s="69">
        <f>+VLOOKUP(A6,COSTEO!B:O,10,0)</f>
        <v>180200</v>
      </c>
      <c r="H6" s="69">
        <f t="shared" si="0"/>
        <v>180200</v>
      </c>
      <c r="I6" s="70" t="s">
        <v>95</v>
      </c>
    </row>
    <row r="7" spans="1:9" ht="32.6" x14ac:dyDescent="0.25">
      <c r="A7" s="70">
        <v>3</v>
      </c>
      <c r="B7" s="68" t="s">
        <v>11</v>
      </c>
      <c r="C7" s="68" t="s">
        <v>17</v>
      </c>
      <c r="D7" s="68" t="s">
        <v>13</v>
      </c>
      <c r="E7" s="71">
        <v>1</v>
      </c>
      <c r="F7" s="70" t="s">
        <v>14</v>
      </c>
      <c r="G7" s="69">
        <f>+VLOOKUP(A7,COSTEO!B:O,10,0)</f>
        <v>170600</v>
      </c>
      <c r="H7" s="69">
        <f t="shared" si="0"/>
        <v>170600</v>
      </c>
      <c r="I7" s="70" t="s">
        <v>95</v>
      </c>
    </row>
    <row r="8" spans="1:9" ht="32.6" x14ac:dyDescent="0.25">
      <c r="A8" s="70">
        <v>4</v>
      </c>
      <c r="B8" s="68" t="s">
        <v>11</v>
      </c>
      <c r="C8" s="68" t="s">
        <v>18</v>
      </c>
      <c r="D8" s="68" t="s">
        <v>13</v>
      </c>
      <c r="E8" s="71">
        <v>1</v>
      </c>
      <c r="F8" s="70" t="s">
        <v>14</v>
      </c>
      <c r="G8" s="69">
        <f>+VLOOKUP(A8,COSTEO!B:O,10,0)</f>
        <v>199400</v>
      </c>
      <c r="H8" s="69">
        <f t="shared" si="0"/>
        <v>199400</v>
      </c>
      <c r="I8" s="70" t="s">
        <v>95</v>
      </c>
    </row>
    <row r="9" spans="1:9" ht="32.6" x14ac:dyDescent="0.25">
      <c r="A9" s="70">
        <v>5</v>
      </c>
      <c r="B9" s="68" t="s">
        <v>11</v>
      </c>
      <c r="C9" s="68" t="s">
        <v>19</v>
      </c>
      <c r="D9" s="68" t="s">
        <v>13</v>
      </c>
      <c r="E9" s="71">
        <v>1</v>
      </c>
      <c r="F9" s="70" t="s">
        <v>14</v>
      </c>
      <c r="G9" s="69">
        <f>+VLOOKUP(A9,COSTEO!B:O,10,0)</f>
        <v>201300</v>
      </c>
      <c r="H9" s="69">
        <f t="shared" si="0"/>
        <v>201300</v>
      </c>
      <c r="I9" s="70" t="s">
        <v>95</v>
      </c>
    </row>
    <row r="10" spans="1:9" ht="32.6" x14ac:dyDescent="0.25">
      <c r="A10" s="70">
        <v>6</v>
      </c>
      <c r="B10" s="68" t="s">
        <v>20</v>
      </c>
      <c r="C10" s="68" t="s">
        <v>21</v>
      </c>
      <c r="D10" s="68" t="s">
        <v>13</v>
      </c>
      <c r="E10" s="71">
        <v>1</v>
      </c>
      <c r="F10" s="70" t="s">
        <v>14</v>
      </c>
      <c r="G10" s="69">
        <f>+VLOOKUP(A10,COSTEO!B:O,10,0)</f>
        <v>80600</v>
      </c>
      <c r="H10" s="69">
        <f t="shared" si="0"/>
        <v>80600</v>
      </c>
      <c r="I10" s="70" t="s">
        <v>95</v>
      </c>
    </row>
    <row r="11" spans="1:9" ht="32.6" x14ac:dyDescent="0.25">
      <c r="A11" s="70">
        <v>7</v>
      </c>
      <c r="B11" s="68" t="s">
        <v>20</v>
      </c>
      <c r="C11" s="68" t="s">
        <v>22</v>
      </c>
      <c r="D11" s="68" t="s">
        <v>13</v>
      </c>
      <c r="E11" s="71">
        <v>1</v>
      </c>
      <c r="F11" s="70" t="s">
        <v>14</v>
      </c>
      <c r="G11" s="69">
        <f>+VLOOKUP(A11,COSTEO!B:O,10,0)</f>
        <v>68500</v>
      </c>
      <c r="H11" s="69">
        <f t="shared" si="0"/>
        <v>68500</v>
      </c>
      <c r="I11" s="70" t="s">
        <v>95</v>
      </c>
    </row>
    <row r="12" spans="1:9" ht="32.6" x14ac:dyDescent="0.25">
      <c r="A12" s="70">
        <v>8</v>
      </c>
      <c r="B12" s="68" t="s">
        <v>20</v>
      </c>
      <c r="C12" s="68" t="s">
        <v>23</v>
      </c>
      <c r="D12" s="68" t="s">
        <v>13</v>
      </c>
      <c r="E12" s="71">
        <v>1</v>
      </c>
      <c r="F12" s="70" t="s">
        <v>14</v>
      </c>
      <c r="G12" s="69">
        <f>+VLOOKUP(A12,COSTEO!B:O,10,0)</f>
        <v>70700</v>
      </c>
      <c r="H12" s="69">
        <f t="shared" si="0"/>
        <v>70700</v>
      </c>
      <c r="I12" s="70" t="s">
        <v>95</v>
      </c>
    </row>
    <row r="13" spans="1:9" ht="32.6" x14ac:dyDescent="0.25">
      <c r="A13" s="70">
        <v>9</v>
      </c>
      <c r="B13" s="68" t="s">
        <v>20</v>
      </c>
      <c r="C13" s="68" t="s">
        <v>24</v>
      </c>
      <c r="D13" s="68" t="s">
        <v>13</v>
      </c>
      <c r="E13" s="71">
        <v>1</v>
      </c>
      <c r="F13" s="70" t="s">
        <v>14</v>
      </c>
      <c r="G13" s="69">
        <f>+VLOOKUP(A13,COSTEO!B:O,10,0)</f>
        <v>58400</v>
      </c>
      <c r="H13" s="69">
        <f t="shared" si="0"/>
        <v>58400</v>
      </c>
      <c r="I13" s="70" t="s">
        <v>95</v>
      </c>
    </row>
    <row r="14" spans="1:9" ht="32.6" x14ac:dyDescent="0.25">
      <c r="A14" s="70">
        <v>10</v>
      </c>
      <c r="B14" s="68" t="s">
        <v>20</v>
      </c>
      <c r="C14" s="68" t="s">
        <v>25</v>
      </c>
      <c r="D14" s="68" t="s">
        <v>13</v>
      </c>
      <c r="E14" s="71">
        <v>1</v>
      </c>
      <c r="F14" s="70" t="s">
        <v>14</v>
      </c>
      <c r="G14" s="69">
        <f>+VLOOKUP(A14,COSTEO!B:O,10,0)</f>
        <v>46800</v>
      </c>
      <c r="H14" s="69">
        <f t="shared" si="0"/>
        <v>46800</v>
      </c>
      <c r="I14" s="70" t="s">
        <v>95</v>
      </c>
    </row>
    <row r="15" spans="1:9" ht="32.6" x14ac:dyDescent="0.25">
      <c r="A15" s="70">
        <v>11</v>
      </c>
      <c r="B15" s="68" t="s">
        <v>20</v>
      </c>
      <c r="C15" s="68" t="s">
        <v>26</v>
      </c>
      <c r="D15" s="68" t="s">
        <v>13</v>
      </c>
      <c r="E15" s="71">
        <v>1</v>
      </c>
      <c r="F15" s="70" t="s">
        <v>14</v>
      </c>
      <c r="G15" s="69">
        <f>+VLOOKUP(A15,COSTEO!B:O,10,0)</f>
        <v>5400</v>
      </c>
      <c r="H15" s="69">
        <f t="shared" si="0"/>
        <v>5400</v>
      </c>
      <c r="I15" s="70" t="s">
        <v>95</v>
      </c>
    </row>
    <row r="16" spans="1:9" ht="32.6" x14ac:dyDescent="0.25">
      <c r="A16" s="70">
        <v>12</v>
      </c>
      <c r="B16" s="68" t="s">
        <v>20</v>
      </c>
      <c r="C16" s="68" t="s">
        <v>27</v>
      </c>
      <c r="D16" s="68" t="s">
        <v>13</v>
      </c>
      <c r="E16" s="71">
        <v>1</v>
      </c>
      <c r="F16" s="70" t="s">
        <v>14</v>
      </c>
      <c r="G16" s="69">
        <f>+VLOOKUP(A16,COSTEO!B:O,10,0)</f>
        <v>86600</v>
      </c>
      <c r="H16" s="69">
        <f t="shared" si="0"/>
        <v>86600</v>
      </c>
      <c r="I16" s="70" t="s">
        <v>95</v>
      </c>
    </row>
    <row r="17" spans="1:9" ht="32.6" x14ac:dyDescent="0.25">
      <c r="A17" s="70">
        <v>13</v>
      </c>
      <c r="B17" s="68" t="s">
        <v>20</v>
      </c>
      <c r="C17" s="68" t="s">
        <v>28</v>
      </c>
      <c r="D17" s="68" t="s">
        <v>13</v>
      </c>
      <c r="E17" s="71">
        <v>1</v>
      </c>
      <c r="F17" s="70" t="s">
        <v>14</v>
      </c>
      <c r="G17" s="69">
        <f>+VLOOKUP(A17,COSTEO!B:O,10,0)</f>
        <v>100100</v>
      </c>
      <c r="H17" s="69">
        <f t="shared" si="0"/>
        <v>100100</v>
      </c>
      <c r="I17" s="70" t="s">
        <v>95</v>
      </c>
    </row>
    <row r="18" spans="1:9" ht="32.6" x14ac:dyDescent="0.25">
      <c r="A18" s="70">
        <v>14</v>
      </c>
      <c r="B18" s="68" t="s">
        <v>20</v>
      </c>
      <c r="C18" s="68" t="s">
        <v>29</v>
      </c>
      <c r="D18" s="68" t="s">
        <v>13</v>
      </c>
      <c r="E18" s="71">
        <v>1</v>
      </c>
      <c r="F18" s="70" t="s">
        <v>14</v>
      </c>
      <c r="G18" s="69">
        <f>+VLOOKUP(A18,COSTEO!B:O,10,0)</f>
        <v>107500</v>
      </c>
      <c r="H18" s="69">
        <f t="shared" si="0"/>
        <v>107500</v>
      </c>
      <c r="I18" s="70" t="s">
        <v>95</v>
      </c>
    </row>
    <row r="19" spans="1:9" ht="32.6" x14ac:dyDescent="0.25">
      <c r="A19" s="70">
        <v>15</v>
      </c>
      <c r="B19" s="68" t="s">
        <v>20</v>
      </c>
      <c r="C19" s="68" t="s">
        <v>30</v>
      </c>
      <c r="D19" s="68" t="s">
        <v>13</v>
      </c>
      <c r="E19" s="71">
        <v>1</v>
      </c>
      <c r="F19" s="70" t="s">
        <v>14</v>
      </c>
      <c r="G19" s="69">
        <f>+VLOOKUP(A19,COSTEO!B:O,10,0)</f>
        <v>170400</v>
      </c>
      <c r="H19" s="69">
        <f t="shared" si="0"/>
        <v>170400</v>
      </c>
      <c r="I19" s="70" t="s">
        <v>95</v>
      </c>
    </row>
    <row r="20" spans="1:9" ht="32.6" x14ac:dyDescent="0.25">
      <c r="A20" s="70">
        <v>16</v>
      </c>
      <c r="B20" s="68" t="s">
        <v>11</v>
      </c>
      <c r="C20" s="68" t="s">
        <v>31</v>
      </c>
      <c r="D20" s="68" t="s">
        <v>13</v>
      </c>
      <c r="E20" s="71">
        <v>1</v>
      </c>
      <c r="F20" s="70" t="s">
        <v>14</v>
      </c>
      <c r="G20" s="69">
        <f>+VLOOKUP(A20,COSTEO!B:O,10,0)</f>
        <v>88700</v>
      </c>
      <c r="H20" s="69">
        <f t="shared" si="0"/>
        <v>88700</v>
      </c>
      <c r="I20" s="70" t="s">
        <v>95</v>
      </c>
    </row>
    <row r="21" spans="1:9" ht="32.6" x14ac:dyDescent="0.25">
      <c r="A21" s="70">
        <v>17</v>
      </c>
      <c r="B21" s="68" t="s">
        <v>11</v>
      </c>
      <c r="C21" s="68" t="s">
        <v>32</v>
      </c>
      <c r="D21" s="68" t="s">
        <v>13</v>
      </c>
      <c r="E21" s="71">
        <v>1</v>
      </c>
      <c r="F21" s="70" t="s">
        <v>14</v>
      </c>
      <c r="G21" s="69">
        <f>+VLOOKUP(A21,COSTEO!B:O,10,0)</f>
        <v>76100</v>
      </c>
      <c r="H21" s="69">
        <f t="shared" si="0"/>
        <v>76100</v>
      </c>
      <c r="I21" s="70" t="s">
        <v>95</v>
      </c>
    </row>
    <row r="22" spans="1:9" ht="32.6" x14ac:dyDescent="0.25">
      <c r="A22" s="70">
        <v>18</v>
      </c>
      <c r="B22" s="68" t="s">
        <v>11</v>
      </c>
      <c r="C22" s="68" t="s">
        <v>33</v>
      </c>
      <c r="D22" s="68" t="s">
        <v>13</v>
      </c>
      <c r="E22" s="71">
        <v>1</v>
      </c>
      <c r="F22" s="70" t="s">
        <v>14</v>
      </c>
      <c r="G22" s="69">
        <f>+VLOOKUP(A22,COSTEO!B:O,10,0)</f>
        <v>53600</v>
      </c>
      <c r="H22" s="69">
        <f t="shared" si="0"/>
        <v>53600</v>
      </c>
      <c r="I22" s="70" t="s">
        <v>95</v>
      </c>
    </row>
    <row r="23" spans="1:9" ht="32.6" x14ac:dyDescent="0.25">
      <c r="A23" s="70">
        <v>19</v>
      </c>
      <c r="B23" s="68" t="s">
        <v>20</v>
      </c>
      <c r="C23" s="68" t="s">
        <v>34</v>
      </c>
      <c r="D23" s="68" t="s">
        <v>13</v>
      </c>
      <c r="E23" s="71">
        <v>1</v>
      </c>
      <c r="F23" s="70" t="s">
        <v>14</v>
      </c>
      <c r="G23" s="69">
        <f>+VLOOKUP(A23,COSTEO!B:O,10,0)</f>
        <v>10800</v>
      </c>
      <c r="H23" s="69">
        <f t="shared" si="0"/>
        <v>10800</v>
      </c>
      <c r="I23" s="70" t="s">
        <v>95</v>
      </c>
    </row>
    <row r="24" spans="1:9" ht="32.6" x14ac:dyDescent="0.25">
      <c r="A24" s="70">
        <v>20</v>
      </c>
      <c r="B24" s="68" t="s">
        <v>20</v>
      </c>
      <c r="C24" s="68" t="s">
        <v>35</v>
      </c>
      <c r="D24" s="68" t="s">
        <v>13</v>
      </c>
      <c r="E24" s="71">
        <v>1</v>
      </c>
      <c r="F24" s="70" t="s">
        <v>14</v>
      </c>
      <c r="G24" s="69">
        <f>+VLOOKUP(A24,COSTEO!B:O,10,0)</f>
        <v>28000</v>
      </c>
      <c r="H24" s="69">
        <f t="shared" si="0"/>
        <v>28000</v>
      </c>
      <c r="I24" s="70" t="s">
        <v>95</v>
      </c>
    </row>
    <row r="25" spans="1:9" ht="32.6" x14ac:dyDescent="0.25">
      <c r="A25" s="70">
        <v>21</v>
      </c>
      <c r="B25" s="68" t="s">
        <v>20</v>
      </c>
      <c r="C25" s="68" t="s">
        <v>36</v>
      </c>
      <c r="D25" s="68" t="s">
        <v>13</v>
      </c>
      <c r="E25" s="71">
        <v>1</v>
      </c>
      <c r="F25" s="70" t="s">
        <v>14</v>
      </c>
      <c r="G25" s="69">
        <f>+VLOOKUP(A25,COSTEO!B:O,10,0)</f>
        <v>675200</v>
      </c>
      <c r="H25" s="69">
        <f t="shared" si="0"/>
        <v>675200</v>
      </c>
      <c r="I25" s="70" t="s">
        <v>96</v>
      </c>
    </row>
    <row r="26" spans="1:9" ht="32.6" x14ac:dyDescent="0.25">
      <c r="A26" s="70">
        <v>22</v>
      </c>
      <c r="B26" s="68" t="s">
        <v>20</v>
      </c>
      <c r="C26" s="68" t="s">
        <v>37</v>
      </c>
      <c r="D26" s="68" t="s">
        <v>13</v>
      </c>
      <c r="E26" s="71">
        <v>1</v>
      </c>
      <c r="F26" s="70" t="s">
        <v>14</v>
      </c>
      <c r="G26" s="69">
        <f>+VLOOKUP(A26,COSTEO!B:O,10,0)</f>
        <v>536100</v>
      </c>
      <c r="H26" s="69">
        <f t="shared" si="0"/>
        <v>536100</v>
      </c>
      <c r="I26" s="70" t="s">
        <v>96</v>
      </c>
    </row>
    <row r="27" spans="1:9" ht="32.6" x14ac:dyDescent="0.25">
      <c r="A27" s="70">
        <v>23</v>
      </c>
      <c r="B27" s="68" t="s">
        <v>20</v>
      </c>
      <c r="C27" s="68" t="s">
        <v>38</v>
      </c>
      <c r="D27" s="68" t="s">
        <v>13</v>
      </c>
      <c r="E27" s="71">
        <v>1</v>
      </c>
      <c r="F27" s="70" t="s">
        <v>14</v>
      </c>
      <c r="G27" s="69">
        <f>+VLOOKUP(A27,COSTEO!B:O,10,0)</f>
        <v>480700</v>
      </c>
      <c r="H27" s="69">
        <f t="shared" si="0"/>
        <v>480700</v>
      </c>
      <c r="I27" s="70" t="s">
        <v>96</v>
      </c>
    </row>
    <row r="28" spans="1:9" ht="32.6" x14ac:dyDescent="0.25">
      <c r="A28" s="70">
        <v>24</v>
      </c>
      <c r="B28" s="68" t="s">
        <v>20</v>
      </c>
      <c r="C28" s="68" t="s">
        <v>39</v>
      </c>
      <c r="D28" s="68" t="s">
        <v>13</v>
      </c>
      <c r="E28" s="71">
        <v>1</v>
      </c>
      <c r="F28" s="70" t="s">
        <v>14</v>
      </c>
      <c r="G28" s="69">
        <f>+VLOOKUP(A28,COSTEO!B:O,10,0)</f>
        <v>902900</v>
      </c>
      <c r="H28" s="69">
        <f t="shared" si="0"/>
        <v>902900</v>
      </c>
      <c r="I28" s="70" t="s">
        <v>96</v>
      </c>
    </row>
    <row r="29" spans="1:9" ht="32.6" x14ac:dyDescent="0.25">
      <c r="A29" s="70">
        <v>25</v>
      </c>
      <c r="B29" s="68" t="s">
        <v>20</v>
      </c>
      <c r="C29" s="68" t="s">
        <v>40</v>
      </c>
      <c r="D29" s="68" t="s">
        <v>13</v>
      </c>
      <c r="E29" s="71">
        <v>1</v>
      </c>
      <c r="F29" s="70" t="s">
        <v>14</v>
      </c>
      <c r="G29" s="69">
        <f>+VLOOKUP(A29,COSTEO!B:O,10,0)</f>
        <v>3078000</v>
      </c>
      <c r="H29" s="69">
        <f t="shared" si="0"/>
        <v>3078000</v>
      </c>
      <c r="I29" s="70" t="s">
        <v>96</v>
      </c>
    </row>
    <row r="30" spans="1:9" ht="32.6" x14ac:dyDescent="0.25">
      <c r="A30" s="70">
        <v>26</v>
      </c>
      <c r="B30" s="68" t="s">
        <v>20</v>
      </c>
      <c r="C30" s="68" t="s">
        <v>41</v>
      </c>
      <c r="D30" s="68" t="s">
        <v>13</v>
      </c>
      <c r="E30" s="71">
        <v>1</v>
      </c>
      <c r="F30" s="70" t="s">
        <v>14</v>
      </c>
      <c r="G30" s="69">
        <f>+VLOOKUP(A30,COSTEO!B:O,10,0)</f>
        <v>550000</v>
      </c>
      <c r="H30" s="69">
        <f t="shared" si="0"/>
        <v>550000</v>
      </c>
      <c r="I30" s="70" t="s">
        <v>96</v>
      </c>
    </row>
    <row r="31" spans="1:9" ht="32.6" x14ac:dyDescent="0.25">
      <c r="A31" s="70">
        <v>27</v>
      </c>
      <c r="B31" s="68" t="s">
        <v>20</v>
      </c>
      <c r="C31" s="68" t="s">
        <v>42</v>
      </c>
      <c r="D31" s="68" t="s">
        <v>13</v>
      </c>
      <c r="E31" s="71">
        <v>1</v>
      </c>
      <c r="F31" s="70" t="s">
        <v>14</v>
      </c>
      <c r="G31" s="69">
        <f>+VLOOKUP(A31,COSTEO!B:O,10,0)</f>
        <v>2796300</v>
      </c>
      <c r="H31" s="69">
        <f t="shared" si="0"/>
        <v>2796300</v>
      </c>
      <c r="I31" s="70" t="s">
        <v>96</v>
      </c>
    </row>
    <row r="32" spans="1:9" ht="32.6" x14ac:dyDescent="0.25">
      <c r="A32" s="70">
        <v>28</v>
      </c>
      <c r="B32" s="68" t="s">
        <v>20</v>
      </c>
      <c r="C32" s="68" t="s">
        <v>43</v>
      </c>
      <c r="D32" s="68" t="s">
        <v>13</v>
      </c>
      <c r="E32" s="71">
        <v>1</v>
      </c>
      <c r="F32" s="70" t="s">
        <v>14</v>
      </c>
      <c r="G32" s="69">
        <f>+VLOOKUP(A32,COSTEO!B:O,10,0)</f>
        <v>323000</v>
      </c>
      <c r="H32" s="69">
        <f t="shared" si="0"/>
        <v>323000</v>
      </c>
      <c r="I32" s="70" t="s">
        <v>96</v>
      </c>
    </row>
    <row r="33" spans="1:9" ht="32.6" x14ac:dyDescent="0.25">
      <c r="A33" s="70">
        <v>29</v>
      </c>
      <c r="B33" s="68" t="s">
        <v>20</v>
      </c>
      <c r="C33" s="68" t="s">
        <v>44</v>
      </c>
      <c r="D33" s="68" t="s">
        <v>13</v>
      </c>
      <c r="E33" s="71">
        <v>1</v>
      </c>
      <c r="F33" s="70" t="s">
        <v>14</v>
      </c>
      <c r="G33" s="69">
        <f>+VLOOKUP(A33,COSTEO!B:O,10,0)</f>
        <v>832500</v>
      </c>
      <c r="H33" s="69">
        <f t="shared" si="0"/>
        <v>832500</v>
      </c>
      <c r="I33" s="70" t="s">
        <v>96</v>
      </c>
    </row>
    <row r="34" spans="1:9" ht="32.6" x14ac:dyDescent="0.25">
      <c r="A34" s="70">
        <v>30</v>
      </c>
      <c r="B34" s="68" t="s">
        <v>20</v>
      </c>
      <c r="C34" s="68" t="s">
        <v>45</v>
      </c>
      <c r="D34" s="68" t="s">
        <v>13</v>
      </c>
      <c r="E34" s="71">
        <v>1</v>
      </c>
      <c r="F34" s="70" t="s">
        <v>14</v>
      </c>
      <c r="G34" s="69">
        <f>+VLOOKUP(A34,COSTEO!B:O,10,0)</f>
        <v>192500</v>
      </c>
      <c r="H34" s="69">
        <f t="shared" si="0"/>
        <v>192500</v>
      </c>
      <c r="I34" s="70" t="s">
        <v>96</v>
      </c>
    </row>
    <row r="35" spans="1:9" ht="32.6" x14ac:dyDescent="0.25">
      <c r="A35" s="70">
        <v>31</v>
      </c>
      <c r="B35" s="68" t="s">
        <v>20</v>
      </c>
      <c r="C35" s="68" t="s">
        <v>46</v>
      </c>
      <c r="D35" s="68" t="s">
        <v>13</v>
      </c>
      <c r="E35" s="71">
        <v>1</v>
      </c>
      <c r="F35" s="70" t="s">
        <v>14</v>
      </c>
      <c r="G35" s="69">
        <f>+VLOOKUP(A35,COSTEO!B:O,10,0)</f>
        <v>514600</v>
      </c>
      <c r="H35" s="69">
        <f t="shared" si="0"/>
        <v>514600</v>
      </c>
      <c r="I35" s="70" t="s">
        <v>96</v>
      </c>
    </row>
    <row r="36" spans="1:9" ht="32.6" x14ac:dyDescent="0.25">
      <c r="A36" s="70">
        <v>32</v>
      </c>
      <c r="B36" s="68" t="s">
        <v>20</v>
      </c>
      <c r="C36" s="68" t="s">
        <v>47</v>
      </c>
      <c r="D36" s="68" t="s">
        <v>13</v>
      </c>
      <c r="E36" s="71">
        <v>1</v>
      </c>
      <c r="F36" s="70" t="s">
        <v>14</v>
      </c>
      <c r="G36" s="69">
        <f>+VLOOKUP(A36,COSTEO!B:O,10,0)</f>
        <v>1145000</v>
      </c>
      <c r="H36" s="69">
        <f t="shared" si="0"/>
        <v>1145000</v>
      </c>
      <c r="I36" s="70" t="s">
        <v>96</v>
      </c>
    </row>
    <row r="37" spans="1:9" ht="32.6" x14ac:dyDescent="0.25">
      <c r="A37" s="70">
        <v>33</v>
      </c>
      <c r="B37" s="68" t="s">
        <v>20</v>
      </c>
      <c r="C37" s="68" t="s">
        <v>48</v>
      </c>
      <c r="D37" s="68" t="s">
        <v>13</v>
      </c>
      <c r="E37" s="71">
        <v>1</v>
      </c>
      <c r="F37" s="70" t="s">
        <v>14</v>
      </c>
      <c r="G37" s="69">
        <f>+VLOOKUP(A37,COSTEO!B:O,10,0)</f>
        <v>1332900</v>
      </c>
      <c r="H37" s="69">
        <f t="shared" si="0"/>
        <v>1332900</v>
      </c>
      <c r="I37" s="70" t="s">
        <v>95</v>
      </c>
    </row>
    <row r="38" spans="1:9" ht="32.6" x14ac:dyDescent="0.25">
      <c r="A38" s="70">
        <v>34</v>
      </c>
      <c r="B38" s="68" t="s">
        <v>20</v>
      </c>
      <c r="C38" s="68" t="s">
        <v>49</v>
      </c>
      <c r="D38" s="68" t="s">
        <v>13</v>
      </c>
      <c r="E38" s="71">
        <v>1</v>
      </c>
      <c r="F38" s="70" t="s">
        <v>14</v>
      </c>
      <c r="G38" s="69">
        <f>+VLOOKUP(A38,COSTEO!B:O,10,0)</f>
        <v>2045000</v>
      </c>
      <c r="H38" s="69">
        <f t="shared" si="0"/>
        <v>2045000</v>
      </c>
      <c r="I38" s="70" t="s">
        <v>96</v>
      </c>
    </row>
    <row r="39" spans="1:9" ht="32.6" x14ac:dyDescent="0.25">
      <c r="A39" s="70">
        <v>35</v>
      </c>
      <c r="B39" s="68" t="s">
        <v>20</v>
      </c>
      <c r="C39" s="68" t="s">
        <v>50</v>
      </c>
      <c r="D39" s="68" t="s">
        <v>13</v>
      </c>
      <c r="E39" s="71">
        <v>1</v>
      </c>
      <c r="F39" s="70" t="s">
        <v>14</v>
      </c>
      <c r="G39" s="69">
        <f>+VLOOKUP(A39,COSTEO!B:O,10,0)</f>
        <v>161800</v>
      </c>
      <c r="H39" s="69">
        <f t="shared" si="0"/>
        <v>161800</v>
      </c>
      <c r="I39" s="70" t="s">
        <v>95</v>
      </c>
    </row>
    <row r="40" spans="1:9" ht="32.6" x14ac:dyDescent="0.25">
      <c r="A40" s="70">
        <v>36</v>
      </c>
      <c r="B40" s="68" t="s">
        <v>20</v>
      </c>
      <c r="C40" s="68" t="s">
        <v>51</v>
      </c>
      <c r="D40" s="68" t="s">
        <v>13</v>
      </c>
      <c r="E40" s="71">
        <v>1</v>
      </c>
      <c r="F40" s="70" t="s">
        <v>14</v>
      </c>
      <c r="G40" s="69">
        <f>+VLOOKUP(A40,COSTEO!B:O,10,0)</f>
        <v>375000</v>
      </c>
      <c r="H40" s="69">
        <f t="shared" si="0"/>
        <v>375000</v>
      </c>
      <c r="I40" s="70" t="s">
        <v>96</v>
      </c>
    </row>
    <row r="41" spans="1:9" ht="32.6" x14ac:dyDescent="0.25">
      <c r="A41" s="70">
        <v>37</v>
      </c>
      <c r="B41" s="68" t="s">
        <v>20</v>
      </c>
      <c r="C41" s="68" t="s">
        <v>52</v>
      </c>
      <c r="D41" s="68" t="s">
        <v>13</v>
      </c>
      <c r="E41" s="71">
        <v>1</v>
      </c>
      <c r="F41" s="70" t="s">
        <v>14</v>
      </c>
      <c r="G41" s="69">
        <f>+VLOOKUP(A41,COSTEO!B:O,10,0)</f>
        <v>283500</v>
      </c>
      <c r="H41" s="69">
        <f t="shared" si="0"/>
        <v>283500</v>
      </c>
      <c r="I41" s="70" t="s">
        <v>96</v>
      </c>
    </row>
    <row r="42" spans="1:9" ht="32.6" x14ac:dyDescent="0.25">
      <c r="A42" s="70">
        <v>38</v>
      </c>
      <c r="B42" s="68" t="s">
        <v>20</v>
      </c>
      <c r="C42" s="68" t="s">
        <v>53</v>
      </c>
      <c r="D42" s="68" t="s">
        <v>13</v>
      </c>
      <c r="E42" s="71">
        <v>1</v>
      </c>
      <c r="F42" s="70" t="s">
        <v>14</v>
      </c>
      <c r="G42" s="69">
        <f>+VLOOKUP(A42,COSTEO!B:O,10,0)</f>
        <v>360000</v>
      </c>
      <c r="H42" s="69">
        <f t="shared" si="0"/>
        <v>360000</v>
      </c>
      <c r="I42" s="70" t="s">
        <v>96</v>
      </c>
    </row>
    <row r="43" spans="1:9" ht="32.6" x14ac:dyDescent="0.25">
      <c r="A43" s="70">
        <v>39</v>
      </c>
      <c r="B43" s="68" t="s">
        <v>20</v>
      </c>
      <c r="C43" s="68" t="s">
        <v>54</v>
      </c>
      <c r="D43" s="68" t="s">
        <v>13</v>
      </c>
      <c r="E43" s="71">
        <v>1</v>
      </c>
      <c r="F43" s="70" t="s">
        <v>14</v>
      </c>
      <c r="G43" s="69">
        <f>+VLOOKUP(A43,COSTEO!B:O,10,0)</f>
        <v>1562600</v>
      </c>
      <c r="H43" s="69">
        <f t="shared" si="0"/>
        <v>1562600</v>
      </c>
      <c r="I43" s="70" t="s">
        <v>96</v>
      </c>
    </row>
    <row r="44" spans="1:9" ht="32.6" x14ac:dyDescent="0.25">
      <c r="A44" s="70">
        <v>40</v>
      </c>
      <c r="B44" s="68" t="s">
        <v>20</v>
      </c>
      <c r="C44" s="68" t="s">
        <v>55</v>
      </c>
      <c r="D44" s="68" t="s">
        <v>13</v>
      </c>
      <c r="E44" s="71">
        <v>1</v>
      </c>
      <c r="F44" s="70" t="s">
        <v>14</v>
      </c>
      <c r="G44" s="69">
        <f>+VLOOKUP(A44,COSTEO!B:O,10,0)</f>
        <v>1169500</v>
      </c>
      <c r="H44" s="69">
        <f t="shared" si="0"/>
        <v>1169500</v>
      </c>
      <c r="I44" s="70" t="s">
        <v>96</v>
      </c>
    </row>
    <row r="45" spans="1:9" ht="32.6" x14ac:dyDescent="0.25">
      <c r="A45" s="70">
        <v>41</v>
      </c>
      <c r="B45" s="68" t="s">
        <v>20</v>
      </c>
      <c r="C45" s="68" t="s">
        <v>56</v>
      </c>
      <c r="D45" s="68" t="s">
        <v>13</v>
      </c>
      <c r="E45" s="71">
        <v>1</v>
      </c>
      <c r="F45" s="70" t="s">
        <v>14</v>
      </c>
      <c r="G45" s="69">
        <f>+VLOOKUP(A45,COSTEO!B:O,10,0)</f>
        <v>195000</v>
      </c>
      <c r="H45" s="69">
        <f t="shared" si="0"/>
        <v>195000</v>
      </c>
      <c r="I45" s="70" t="s">
        <v>96</v>
      </c>
    </row>
    <row r="46" spans="1:9" ht="32.6" x14ac:dyDescent="0.25">
      <c r="A46" s="70">
        <v>42</v>
      </c>
      <c r="B46" s="68" t="s">
        <v>20</v>
      </c>
      <c r="C46" s="68" t="s">
        <v>57</v>
      </c>
      <c r="D46" s="68" t="s">
        <v>13</v>
      </c>
      <c r="E46" s="71">
        <v>1</v>
      </c>
      <c r="F46" s="70" t="s">
        <v>14</v>
      </c>
      <c r="G46" s="69">
        <f>+VLOOKUP(A46,COSTEO!B:O,10,0)</f>
        <v>75000</v>
      </c>
      <c r="H46" s="69">
        <f t="shared" si="0"/>
        <v>75000</v>
      </c>
      <c r="I46" s="70" t="s">
        <v>96</v>
      </c>
    </row>
    <row r="47" spans="1:9" x14ac:dyDescent="0.25">
      <c r="G47" s="69" t="s">
        <v>58</v>
      </c>
      <c r="H47" s="69">
        <f>H5+H6+H7+H8+H9+H10+H11+H12+H13+H14+H15+H16+H17+H18+H19+H20+H21+H22+H23+H24+H25+H26+H27+H28+H29+H30+H31+H32+H33+H34+H35+H36+H37+H38+H39+H40+H41+H42+H43+H44+H45+H46</f>
        <v>21578700</v>
      </c>
    </row>
    <row r="50" spans="2:8" x14ac:dyDescent="0.25">
      <c r="G50" s="73" t="s">
        <v>59</v>
      </c>
      <c r="H50" s="73">
        <f>H47</f>
        <v>21578700</v>
      </c>
    </row>
    <row r="54" spans="2:8" x14ac:dyDescent="0.25">
      <c r="B54" s="74" t="s">
        <v>60</v>
      </c>
      <c r="C54" s="74"/>
    </row>
    <row r="55" spans="2:8" x14ac:dyDescent="0.25">
      <c r="B55" s="67" t="s">
        <v>61</v>
      </c>
      <c r="C55" s="67" t="s">
        <v>97</v>
      </c>
    </row>
    <row r="56" spans="2:8" x14ac:dyDescent="0.25">
      <c r="B56" s="67" t="s">
        <v>63</v>
      </c>
      <c r="C56" s="67" t="s">
        <v>98</v>
      </c>
    </row>
  </sheetData>
  <autoFilter ref="A4:L47" xr:uid="{E890ADFC-88C6-4EF6-8AE8-646F562AA031}"/>
  <mergeCells count="2">
    <mergeCell ref="A1:I1"/>
    <mergeCell ref="A3:I3"/>
  </mergeCells>
  <pageMargins left="0.51181102362204722" right="0.31496062992125984" top="0.74803149606299213" bottom="0.74803149606299213" header="0.31496062992125984" footer="0.31496062992125984"/>
  <pageSetup scale="42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66"/>
  <sheetViews>
    <sheetView showGridLines="0" tabSelected="1" topLeftCell="A10" zoomScale="70" zoomScaleNormal="70" workbookViewId="0">
      <selection activeCell="H15" sqref="H15"/>
    </sheetView>
  </sheetViews>
  <sheetFormatPr baseColWidth="10" defaultColWidth="8.875" defaultRowHeight="14.3" x14ac:dyDescent="0.25"/>
  <cols>
    <col min="1" max="1" width="8.875" style="1"/>
    <col min="2" max="2" width="5.875" style="1" bestFit="1" customWidth="1"/>
    <col min="3" max="3" width="18.75" style="1" bestFit="1" customWidth="1"/>
    <col min="4" max="4" width="59.125" style="1" customWidth="1"/>
    <col min="5" max="5" width="29.375" style="1" bestFit="1" customWidth="1"/>
    <col min="6" max="6" width="10.625" style="1" bestFit="1" customWidth="1"/>
    <col min="7" max="7" width="15.25" style="1" bestFit="1" customWidth="1"/>
    <col min="8" max="8" width="42.75" style="1" customWidth="1"/>
    <col min="9" max="9" width="19.75" style="1" customWidth="1"/>
    <col min="10" max="10" width="18.75" style="1" customWidth="1"/>
    <col min="11" max="11" width="19.75" style="1" customWidth="1"/>
    <col min="12" max="12" width="29.625" style="10" customWidth="1"/>
    <col min="13" max="15" width="29.625" style="11" customWidth="1"/>
    <col min="16" max="16" width="11.25" style="9" bestFit="1" customWidth="1"/>
    <col min="17" max="17" width="12.75" style="1" bestFit="1" customWidth="1"/>
    <col min="18" max="18" width="11.875" style="1" bestFit="1" customWidth="1"/>
    <col min="19" max="19" width="8.875" style="1"/>
    <col min="20" max="20" width="18.875" style="1" customWidth="1"/>
    <col min="21" max="24" width="16.625" style="1" customWidth="1"/>
    <col min="25" max="25" width="22.125" style="1" customWidth="1"/>
    <col min="26" max="16384" width="8.875" style="1"/>
  </cols>
  <sheetData>
    <row r="1" spans="1:26" s="49" customFormat="1" ht="14.3" customHeight="1" x14ac:dyDescent="0.25">
      <c r="B1" s="16"/>
      <c r="C1" s="16" t="s">
        <v>69</v>
      </c>
      <c r="D1" s="17">
        <f>SUM(L15:L1180)</f>
        <v>39503513</v>
      </c>
      <c r="E1" s="17">
        <f>+E2-D2</f>
        <v>0</v>
      </c>
      <c r="F1" s="18">
        <v>0.47</v>
      </c>
      <c r="G1" s="16"/>
      <c r="H1" s="17"/>
      <c r="I1" s="17"/>
      <c r="J1" s="50" t="s">
        <v>70</v>
      </c>
      <c r="K1" s="50">
        <v>0.75</v>
      </c>
      <c r="L1" s="18"/>
      <c r="M1" s="51">
        <v>7.0000000000000007E-2</v>
      </c>
      <c r="N1" s="19">
        <v>1</v>
      </c>
      <c r="O1" s="20"/>
      <c r="P1" s="21">
        <f>+$O1/$O$7</f>
        <v>0</v>
      </c>
      <c r="Q1" s="22">
        <f>+SUMIF(A:A,N1,K:K)</f>
        <v>6407000</v>
      </c>
      <c r="R1" s="21">
        <f t="shared" ref="R1:R6" si="0">+$Q1/$R$7</f>
        <v>0.29691315973622134</v>
      </c>
      <c r="S1" s="52">
        <v>0.06</v>
      </c>
      <c r="T1" s="23">
        <v>11</v>
      </c>
      <c r="U1" s="23">
        <f>+COUNTIF(A:A,11)</f>
        <v>0</v>
      </c>
      <c r="V1" s="24">
        <f>+$U1/$O$7</f>
        <v>0</v>
      </c>
      <c r="W1" s="22">
        <f>+SUMIF(A:A,T1,K:K)</f>
        <v>0</v>
      </c>
      <c r="X1" s="24">
        <f>+$W1/$R$7</f>
        <v>0</v>
      </c>
      <c r="Z1" s="25"/>
    </row>
    <row r="2" spans="1:26" s="49" customFormat="1" ht="14.3" customHeight="1" x14ac:dyDescent="0.25">
      <c r="B2" s="16"/>
      <c r="C2" s="16" t="s">
        <v>71</v>
      </c>
      <c r="D2" s="17">
        <f>+K57</f>
        <v>21578700</v>
      </c>
      <c r="E2" s="17">
        <f>+K57</f>
        <v>21578700</v>
      </c>
      <c r="F2" s="16"/>
      <c r="G2" s="16"/>
      <c r="H2" s="17"/>
      <c r="I2" s="17"/>
      <c r="J2" s="26" t="s">
        <v>72</v>
      </c>
      <c r="K2" s="16">
        <v>0.5</v>
      </c>
      <c r="L2" s="18"/>
      <c r="M2" s="51">
        <v>0.24</v>
      </c>
      <c r="N2" s="27">
        <v>2</v>
      </c>
      <c r="O2" s="28"/>
      <c r="P2" s="29">
        <f t="shared" ref="P2:P6" si="1">+$O2/$O$7</f>
        <v>0</v>
      </c>
      <c r="Q2" s="22">
        <f t="shared" ref="Q2:Q6" si="2">+SUMIF(A:A,N2,K:K)</f>
        <v>4884800</v>
      </c>
      <c r="R2" s="29">
        <f t="shared" si="0"/>
        <v>0.22637137547674327</v>
      </c>
      <c r="S2" s="52">
        <v>0.06</v>
      </c>
      <c r="T2" s="30">
        <v>12</v>
      </c>
      <c r="U2" s="30">
        <f>+COUNTIF(A:A,12)</f>
        <v>0</v>
      </c>
      <c r="V2" s="31">
        <f>+$U2/$O$7</f>
        <v>0</v>
      </c>
      <c r="W2" s="22">
        <f t="shared" ref="W2:W3" si="3">+SUMIF(A:A,T2,K:K)</f>
        <v>0</v>
      </c>
      <c r="X2" s="31">
        <f>+$W2/$R$7</f>
        <v>0</v>
      </c>
      <c r="Z2" s="25"/>
    </row>
    <row r="3" spans="1:26" s="49" customFormat="1" ht="14.3" customHeight="1" x14ac:dyDescent="0.25">
      <c r="B3" s="16"/>
      <c r="C3" s="16" t="str">
        <f>+Q8</f>
        <v>% del referencial</v>
      </c>
      <c r="D3" s="32">
        <f>+R8</f>
        <v>0.54624762106600488</v>
      </c>
      <c r="E3" s="33">
        <f>+E2/D1</f>
        <v>0.54624762106600488</v>
      </c>
      <c r="F3" s="17"/>
      <c r="G3" s="16"/>
      <c r="H3" s="17"/>
      <c r="I3" s="17"/>
      <c r="J3" s="26"/>
      <c r="K3" s="16"/>
      <c r="L3" s="18"/>
      <c r="M3" s="51">
        <v>0.37</v>
      </c>
      <c r="N3" s="19">
        <v>3</v>
      </c>
      <c r="O3" s="20"/>
      <c r="P3" s="21">
        <f t="shared" si="1"/>
        <v>0</v>
      </c>
      <c r="Q3" s="22">
        <f t="shared" si="2"/>
        <v>413700</v>
      </c>
      <c r="R3" s="21">
        <f t="shared" si="0"/>
        <v>1.917168318758776E-2</v>
      </c>
      <c r="S3" s="52">
        <v>0.04</v>
      </c>
      <c r="T3" s="34">
        <v>13</v>
      </c>
      <c r="U3" s="34">
        <f>+COUNTIF(A:A,13)</f>
        <v>1</v>
      </c>
      <c r="V3" s="35">
        <f>+$U3/$O$7</f>
        <v>2.3809523809523808E-2</v>
      </c>
      <c r="W3" s="22">
        <f t="shared" si="3"/>
        <v>2796300</v>
      </c>
      <c r="X3" s="35">
        <f>+$W3/$R$7</f>
        <v>0.1295861196457618</v>
      </c>
      <c r="Z3" s="25"/>
    </row>
    <row r="4" spans="1:26" s="49" customFormat="1" ht="14.3" customHeight="1" x14ac:dyDescent="0.25">
      <c r="B4" s="16"/>
      <c r="C4" s="16" t="s">
        <v>73</v>
      </c>
      <c r="D4" s="17">
        <f>+D1*F1</f>
        <v>18566651.109999999</v>
      </c>
      <c r="E4" s="16"/>
      <c r="F4" s="18"/>
      <c r="G4" s="16"/>
      <c r="H4" s="17"/>
      <c r="I4" s="17"/>
      <c r="J4" s="26"/>
      <c r="K4" s="16"/>
      <c r="L4" s="18"/>
      <c r="M4" s="51">
        <v>0.62</v>
      </c>
      <c r="N4" s="27">
        <v>4</v>
      </c>
      <c r="O4" s="28"/>
      <c r="P4" s="29">
        <f t="shared" si="1"/>
        <v>0</v>
      </c>
      <c r="Q4" s="22">
        <f t="shared" si="2"/>
        <v>4445500</v>
      </c>
      <c r="R4" s="29">
        <f t="shared" si="0"/>
        <v>0.20601333722606088</v>
      </c>
      <c r="S4" s="36"/>
      <c r="T4" s="37"/>
      <c r="U4" s="37"/>
      <c r="V4" s="38"/>
      <c r="W4" s="17"/>
      <c r="Z4" s="25"/>
    </row>
    <row r="5" spans="1:26" s="49" customFormat="1" ht="14.3" customHeight="1" x14ac:dyDescent="0.25">
      <c r="B5" s="16"/>
      <c r="C5" s="16" t="s">
        <v>74</v>
      </c>
      <c r="D5" s="17">
        <f>+D2-D4</f>
        <v>3012048.8900000006</v>
      </c>
      <c r="E5" s="16"/>
      <c r="F5" s="16"/>
      <c r="G5" s="16"/>
      <c r="H5" s="17"/>
      <c r="I5" s="17"/>
      <c r="J5" s="26"/>
      <c r="K5" s="16"/>
      <c r="L5" s="18"/>
      <c r="M5" s="51">
        <v>0.9</v>
      </c>
      <c r="N5" s="19">
        <v>5</v>
      </c>
      <c r="O5" s="20"/>
      <c r="P5" s="21">
        <f t="shared" si="1"/>
        <v>0</v>
      </c>
      <c r="Q5" s="22">
        <f>+SUMIF(A:A,N5,K:K)</f>
        <v>0</v>
      </c>
      <c r="R5" s="21">
        <f t="shared" si="0"/>
        <v>0</v>
      </c>
      <c r="S5" s="37"/>
      <c r="T5" s="37"/>
      <c r="U5" s="37"/>
      <c r="V5" s="38"/>
      <c r="W5" s="17"/>
      <c r="Z5" s="25"/>
    </row>
    <row r="6" spans="1:26" s="49" customFormat="1" ht="14.3" customHeight="1" x14ac:dyDescent="0.25">
      <c r="B6" s="16"/>
      <c r="C6" s="16"/>
      <c r="D6" s="17"/>
      <c r="E6" s="16"/>
      <c r="F6" s="16"/>
      <c r="G6" s="16"/>
      <c r="H6" s="17"/>
      <c r="I6" s="17"/>
      <c r="J6" s="26"/>
      <c r="K6" s="16"/>
      <c r="L6" s="18"/>
      <c r="M6" s="51">
        <v>1.1499999999999999</v>
      </c>
      <c r="N6" s="27">
        <v>6</v>
      </c>
      <c r="O6" s="28"/>
      <c r="P6" s="29">
        <f t="shared" si="1"/>
        <v>0</v>
      </c>
      <c r="Q6" s="22">
        <f t="shared" si="2"/>
        <v>2631400</v>
      </c>
      <c r="R6" s="29">
        <f t="shared" si="0"/>
        <v>0.12194432472762493</v>
      </c>
      <c r="S6" s="37"/>
      <c r="T6" s="37"/>
      <c r="U6" s="37"/>
      <c r="V6" s="38"/>
      <c r="W6" s="17"/>
      <c r="Z6" s="25"/>
    </row>
    <row r="7" spans="1:26" s="49" customFormat="1" ht="28.55" x14ac:dyDescent="0.25">
      <c r="B7" s="16"/>
      <c r="C7" s="16"/>
      <c r="D7" s="17" t="s">
        <v>75</v>
      </c>
      <c r="E7" s="16"/>
      <c r="F7" s="16" t="s">
        <v>76</v>
      </c>
      <c r="G7" s="16"/>
      <c r="H7" s="17" t="s">
        <v>77</v>
      </c>
      <c r="I7" s="17" t="s">
        <v>78</v>
      </c>
      <c r="J7" s="26"/>
      <c r="K7" s="16" t="s">
        <v>79</v>
      </c>
      <c r="L7" s="18"/>
      <c r="M7" s="18"/>
      <c r="N7" s="18"/>
      <c r="O7" s="37">
        <v>42</v>
      </c>
      <c r="P7" s="37"/>
      <c r="Q7" s="49" t="s">
        <v>71</v>
      </c>
      <c r="R7" s="39">
        <f>SUM(Q1:Q6)+SUM(W1:W3)</f>
        <v>21578700</v>
      </c>
      <c r="S7" s="37"/>
      <c r="T7" s="37"/>
      <c r="U7" s="37"/>
      <c r="V7" s="38"/>
      <c r="W7" s="17"/>
      <c r="Z7" s="25"/>
    </row>
    <row r="8" spans="1:26" s="49" customFormat="1" ht="14.3" customHeight="1" x14ac:dyDescent="0.25">
      <c r="B8" s="16"/>
      <c r="C8" s="40">
        <v>1</v>
      </c>
      <c r="D8" s="41">
        <v>2</v>
      </c>
      <c r="E8" s="40">
        <v>3</v>
      </c>
      <c r="F8" s="40">
        <v>4</v>
      </c>
      <c r="G8" s="40">
        <v>5</v>
      </c>
      <c r="H8" s="40">
        <v>6</v>
      </c>
      <c r="I8" s="40">
        <v>11</v>
      </c>
      <c r="J8" s="40">
        <v>12</v>
      </c>
      <c r="K8" s="42">
        <v>13</v>
      </c>
      <c r="Q8" s="16" t="s">
        <v>80</v>
      </c>
      <c r="R8" s="43">
        <f>+D2/D1</f>
        <v>0.54624762106600488</v>
      </c>
      <c r="S8" s="37"/>
      <c r="T8" s="38"/>
      <c r="U8" s="17"/>
      <c r="V8" s="16"/>
      <c r="W8" s="16"/>
      <c r="Z8" s="25"/>
    </row>
    <row r="9" spans="1:26" s="49" customFormat="1" ht="18.7" customHeight="1" x14ac:dyDescent="0.25">
      <c r="B9" s="16"/>
      <c r="C9" s="65">
        <v>7.0000000000000007E-2</v>
      </c>
      <c r="D9" s="45">
        <f>+M2</f>
        <v>0.24</v>
      </c>
      <c r="E9" s="44">
        <f>+M3</f>
        <v>0.37</v>
      </c>
      <c r="F9" s="45">
        <f>+M4</f>
        <v>0.62</v>
      </c>
      <c r="G9" s="45">
        <f>+M5</f>
        <v>0.9</v>
      </c>
      <c r="H9" s="44">
        <f>+M6</f>
        <v>1.1499999999999999</v>
      </c>
      <c r="I9" s="45">
        <f>+S1</f>
        <v>0.06</v>
      </c>
      <c r="J9" s="44">
        <f>+S2</f>
        <v>0.06</v>
      </c>
      <c r="K9" s="46">
        <v>0.04</v>
      </c>
      <c r="Q9" s="18"/>
      <c r="R9" s="18"/>
      <c r="S9" s="37"/>
      <c r="T9" s="37"/>
      <c r="U9" s="17"/>
      <c r="V9" s="16"/>
      <c r="W9" s="16"/>
      <c r="Z9" s="25"/>
    </row>
    <row r="10" spans="1:26" ht="16.149999999999999" customHeight="1" x14ac:dyDescent="0.25"/>
    <row r="11" spans="1:26" ht="38.049999999999997" x14ac:dyDescent="0.25">
      <c r="B11" s="80" t="s">
        <v>0</v>
      </c>
      <c r="C11" s="80"/>
      <c r="D11" s="80"/>
      <c r="E11" s="80"/>
      <c r="F11" s="80"/>
      <c r="G11" s="80"/>
      <c r="H11" s="80"/>
      <c r="I11" s="80"/>
      <c r="J11" s="80"/>
      <c r="L11" s="12" t="s">
        <v>68</v>
      </c>
      <c r="M11" s="13" t="s">
        <v>65</v>
      </c>
      <c r="N11" s="13" t="s">
        <v>66</v>
      </c>
      <c r="O11" s="13" t="s">
        <v>67</v>
      </c>
      <c r="T11" s="82" t="s">
        <v>81</v>
      </c>
      <c r="U11" s="83"/>
      <c r="V11" s="83"/>
      <c r="W11" s="83"/>
      <c r="X11" s="83"/>
      <c r="Y11" s="84"/>
    </row>
    <row r="12" spans="1:26" x14ac:dyDescent="0.25">
      <c r="B12" s="2"/>
      <c r="C12" s="2"/>
      <c r="D12" s="2"/>
      <c r="E12" s="2"/>
      <c r="F12" s="2"/>
      <c r="G12" s="2"/>
      <c r="H12" s="2"/>
      <c r="I12" s="2"/>
      <c r="J12" s="2"/>
      <c r="L12" s="14"/>
      <c r="M12" s="47"/>
      <c r="N12" s="47"/>
      <c r="O12" s="47"/>
      <c r="T12" s="54" t="s">
        <v>82</v>
      </c>
      <c r="U12" s="54" t="s">
        <v>6</v>
      </c>
      <c r="V12" s="54" t="s">
        <v>83</v>
      </c>
      <c r="W12" s="54" t="s">
        <v>84</v>
      </c>
      <c r="X12" s="54" t="s">
        <v>85</v>
      </c>
      <c r="Y12" s="54" t="s">
        <v>86</v>
      </c>
    </row>
    <row r="13" spans="1:26" ht="17" x14ac:dyDescent="0.25">
      <c r="B13" s="81" t="s">
        <v>1</v>
      </c>
      <c r="C13" s="81"/>
      <c r="D13" s="81"/>
      <c r="E13" s="81"/>
      <c r="F13" s="81"/>
      <c r="G13" s="81"/>
      <c r="H13" s="81"/>
      <c r="I13" s="81"/>
      <c r="J13" s="81"/>
      <c r="L13" s="14"/>
      <c r="M13" s="47"/>
      <c r="N13" s="47"/>
      <c r="O13" s="47"/>
      <c r="T13" s="55" t="s">
        <v>87</v>
      </c>
      <c r="U13" s="55">
        <v>1</v>
      </c>
      <c r="V13" s="55">
        <f>5500000/30</f>
        <v>183333.33333333334</v>
      </c>
      <c r="W13" s="55">
        <f t="shared" ref="W13:W17" si="4">+V13*U13</f>
        <v>183333.33333333334</v>
      </c>
      <c r="X13" s="55">
        <f t="shared" ref="X13:X17" si="5">+V13+21500</f>
        <v>204833.33333333334</v>
      </c>
      <c r="Y13" s="55">
        <f t="shared" ref="Y13:Y17" si="6">+U13*X13</f>
        <v>204833.33333333334</v>
      </c>
    </row>
    <row r="14" spans="1:26" x14ac:dyDescent="0.25">
      <c r="B14" s="3" t="s">
        <v>2</v>
      </c>
      <c r="C14" s="3" t="s">
        <v>3</v>
      </c>
      <c r="D14" s="3" t="s">
        <v>4</v>
      </c>
      <c r="E14" s="3" t="s">
        <v>5</v>
      </c>
      <c r="F14" s="3" t="s">
        <v>6</v>
      </c>
      <c r="G14" s="3" t="s">
        <v>7</v>
      </c>
      <c r="H14" s="3" t="s">
        <v>8</v>
      </c>
      <c r="I14" s="3" t="s">
        <v>9</v>
      </c>
      <c r="J14" s="3" t="s">
        <v>10</v>
      </c>
      <c r="L14" s="14"/>
      <c r="M14" s="47"/>
      <c r="N14" s="47"/>
      <c r="O14" s="47"/>
      <c r="T14" s="55" t="s">
        <v>88</v>
      </c>
      <c r="U14" s="55">
        <v>1</v>
      </c>
      <c r="V14" s="55">
        <v>185000</v>
      </c>
      <c r="W14" s="55">
        <f t="shared" si="4"/>
        <v>185000</v>
      </c>
      <c r="X14" s="55">
        <f t="shared" si="5"/>
        <v>206500</v>
      </c>
      <c r="Y14" s="55">
        <f t="shared" si="6"/>
        <v>206500</v>
      </c>
    </row>
    <row r="15" spans="1:26" ht="28.55" x14ac:dyDescent="0.25">
      <c r="A15" s="1">
        <v>6</v>
      </c>
      <c r="B15" s="4">
        <v>1</v>
      </c>
      <c r="C15" s="2" t="s">
        <v>11</v>
      </c>
      <c r="D15" s="2" t="s">
        <v>12</v>
      </c>
      <c r="E15" s="2" t="s">
        <v>13</v>
      </c>
      <c r="F15" s="5">
        <v>1</v>
      </c>
      <c r="G15" s="2" t="s">
        <v>14</v>
      </c>
      <c r="H15" s="5">
        <f>+IFERROR(CEILING(HLOOKUP(A15,$C$8:$K$9,2,0)*L15,100),"")</f>
        <v>187900</v>
      </c>
      <c r="I15" s="5">
        <f>IFERROR(H15*1,"")</f>
        <v>187900</v>
      </c>
      <c r="J15" s="2" t="s">
        <v>15</v>
      </c>
      <c r="K15" s="39">
        <f>IFERROR(FLOOR(IF(AND((H15-L15)/L15&lt;-0.25,(H15-O15)&lt;0),IF(O15&gt;L15,L15*K$1,K$2*O15),H15),100),"")</f>
        <v>187900</v>
      </c>
      <c r="L15" s="14">
        <v>163333</v>
      </c>
      <c r="M15" s="47"/>
      <c r="N15" s="47">
        <f>((SO+O)/8)*(45/60)+((P/9*5)/22)</f>
        <v>34558.396464646466</v>
      </c>
      <c r="O15" s="47">
        <f>SUM(M15:N15)</f>
        <v>34558.396464646466</v>
      </c>
      <c r="P15" s="63">
        <f>+K15/O15</f>
        <v>5.4371735734967706</v>
      </c>
      <c r="Q15" s="66">
        <f>+K15/L15</f>
        <v>1.1504105110418592</v>
      </c>
      <c r="R15" s="64">
        <f>+K15-O15</f>
        <v>153341.60353535353</v>
      </c>
      <c r="T15" s="55" t="s">
        <v>89</v>
      </c>
      <c r="U15" s="55">
        <v>1</v>
      </c>
      <c r="V15" s="55">
        <v>150000</v>
      </c>
      <c r="W15" s="55">
        <f t="shared" si="4"/>
        <v>150000</v>
      </c>
      <c r="X15" s="55">
        <f t="shared" si="5"/>
        <v>171500</v>
      </c>
      <c r="Y15" s="55">
        <f t="shared" si="6"/>
        <v>171500</v>
      </c>
    </row>
    <row r="16" spans="1:26" ht="28.55" x14ac:dyDescent="0.25">
      <c r="A16" s="1">
        <v>6</v>
      </c>
      <c r="B16" s="4">
        <v>2</v>
      </c>
      <c r="C16" s="2" t="s">
        <v>11</v>
      </c>
      <c r="D16" s="2" t="s">
        <v>16</v>
      </c>
      <c r="E16" s="2" t="s">
        <v>13</v>
      </c>
      <c r="F16" s="5">
        <v>1</v>
      </c>
      <c r="G16" s="2" t="s">
        <v>14</v>
      </c>
      <c r="H16" s="5">
        <f t="shared" ref="H16:H56" si="7">+IFERROR(CEILING(HLOOKUP(A16,$C$8:$K$9,2,0)*L16,100),"")</f>
        <v>180200</v>
      </c>
      <c r="I16" s="5">
        <f t="shared" ref="I16:I56" si="8">IFERROR(H16*1,"")</f>
        <v>180200</v>
      </c>
      <c r="J16" s="2" t="s">
        <v>15</v>
      </c>
      <c r="K16" s="39">
        <f t="shared" ref="K16:K56" si="9">IFERROR(FLOOR(IF(AND((H16-L16)/L16&lt;-0.25,(H16-O16)&lt;0),IF(O16&gt;L16,L16*K$1,K$2*O16),H16),100),"")</f>
        <v>180200</v>
      </c>
      <c r="L16" s="14">
        <v>156667</v>
      </c>
      <c r="M16" s="47"/>
      <c r="N16" s="47">
        <f>((SO+O)/8)*(45/60)+((P/9*5)/22)</f>
        <v>34558.396464646466</v>
      </c>
      <c r="O16" s="47">
        <f t="shared" ref="O16:O56" si="10">SUM(M16:N16)</f>
        <v>34558.396464646466</v>
      </c>
      <c r="P16" s="63">
        <f t="shared" ref="P16:P56" si="11">+K16/O16</f>
        <v>5.214362309441821</v>
      </c>
      <c r="Q16" s="66">
        <f t="shared" ref="Q16:Q56" si="12">+K16/L16</f>
        <v>1.1502103187014496</v>
      </c>
      <c r="R16" s="64">
        <f t="shared" ref="R16:R24" si="13">+K16-O16</f>
        <v>145641.60353535353</v>
      </c>
      <c r="T16" s="55" t="s">
        <v>90</v>
      </c>
      <c r="U16" s="55">
        <v>1</v>
      </c>
      <c r="V16" s="55">
        <v>120000</v>
      </c>
      <c r="W16" s="55">
        <f t="shared" si="4"/>
        <v>120000</v>
      </c>
      <c r="X16" s="55">
        <f t="shared" si="5"/>
        <v>141500</v>
      </c>
      <c r="Y16" s="55">
        <f t="shared" si="6"/>
        <v>141500</v>
      </c>
    </row>
    <row r="17" spans="1:25" ht="28.55" x14ac:dyDescent="0.25">
      <c r="A17" s="1">
        <v>6</v>
      </c>
      <c r="B17" s="4">
        <v>3</v>
      </c>
      <c r="C17" s="2" t="s">
        <v>11</v>
      </c>
      <c r="D17" s="2" t="s">
        <v>17</v>
      </c>
      <c r="E17" s="2" t="s">
        <v>13</v>
      </c>
      <c r="F17" s="5">
        <v>1</v>
      </c>
      <c r="G17" s="2" t="s">
        <v>14</v>
      </c>
      <c r="H17" s="5">
        <f t="shared" si="7"/>
        <v>170600</v>
      </c>
      <c r="I17" s="5">
        <f t="shared" si="8"/>
        <v>170600</v>
      </c>
      <c r="J17" s="2" t="s">
        <v>15</v>
      </c>
      <c r="K17" s="39">
        <f t="shared" si="9"/>
        <v>170600</v>
      </c>
      <c r="L17" s="14">
        <v>148333</v>
      </c>
      <c r="M17" s="47"/>
      <c r="N17" s="47">
        <f>((SO+O)/8)*(45/60)+((P/9*5)/22)</f>
        <v>34558.396464646466</v>
      </c>
      <c r="O17" s="47">
        <f t="shared" si="10"/>
        <v>34558.396464646466</v>
      </c>
      <c r="P17" s="63">
        <f t="shared" si="11"/>
        <v>4.9365716425681168</v>
      </c>
      <c r="Q17" s="66">
        <f t="shared" si="12"/>
        <v>1.1501149440785261</v>
      </c>
      <c r="R17" s="64">
        <f t="shared" si="13"/>
        <v>136041.60353535353</v>
      </c>
      <c r="T17" s="55" t="s">
        <v>91</v>
      </c>
      <c r="U17" s="55">
        <v>1</v>
      </c>
      <c r="V17" s="55">
        <v>105000</v>
      </c>
      <c r="W17" s="55">
        <f t="shared" si="4"/>
        <v>105000</v>
      </c>
      <c r="X17" s="55">
        <f t="shared" si="5"/>
        <v>126500</v>
      </c>
      <c r="Y17" s="55">
        <f t="shared" si="6"/>
        <v>126500</v>
      </c>
    </row>
    <row r="18" spans="1:25" ht="28.55" x14ac:dyDescent="0.2">
      <c r="A18" s="1">
        <v>6</v>
      </c>
      <c r="B18" s="4">
        <v>4</v>
      </c>
      <c r="C18" s="2" t="s">
        <v>11</v>
      </c>
      <c r="D18" s="2" t="s">
        <v>18</v>
      </c>
      <c r="E18" s="2" t="s">
        <v>13</v>
      </c>
      <c r="F18" s="5">
        <v>1</v>
      </c>
      <c r="G18" s="2" t="s">
        <v>14</v>
      </c>
      <c r="H18" s="5">
        <f t="shared" si="7"/>
        <v>199400</v>
      </c>
      <c r="I18" s="5">
        <f t="shared" si="8"/>
        <v>199400</v>
      </c>
      <c r="J18" s="2" t="s">
        <v>15</v>
      </c>
      <c r="K18" s="39">
        <f t="shared" si="9"/>
        <v>199400</v>
      </c>
      <c r="L18" s="14">
        <v>173333</v>
      </c>
      <c r="M18" s="47"/>
      <c r="N18" s="47">
        <f>((SO+O)/8)*(45/60)+((P/9*5)/22)</f>
        <v>34558.396464646466</v>
      </c>
      <c r="O18" s="47">
        <f t="shared" si="10"/>
        <v>34558.396464646466</v>
      </c>
      <c r="P18" s="63">
        <f t="shared" si="11"/>
        <v>5.7699436431892286</v>
      </c>
      <c r="Q18" s="66">
        <f t="shared" si="12"/>
        <v>1.1503868276669762</v>
      </c>
      <c r="R18" s="64">
        <f t="shared" si="13"/>
        <v>164841.60353535353</v>
      </c>
      <c r="T18" s="56"/>
      <c r="U18" s="56"/>
      <c r="V18" s="56"/>
      <c r="W18" s="56"/>
      <c r="X18" s="56"/>
      <c r="Y18" s="56"/>
    </row>
    <row r="19" spans="1:25" ht="28.55" x14ac:dyDescent="0.25">
      <c r="A19" s="1">
        <v>6</v>
      </c>
      <c r="B19" s="4">
        <v>5</v>
      </c>
      <c r="C19" s="2" t="s">
        <v>11</v>
      </c>
      <c r="D19" s="2" t="s">
        <v>19</v>
      </c>
      <c r="E19" s="2" t="s">
        <v>13</v>
      </c>
      <c r="F19" s="5">
        <v>1</v>
      </c>
      <c r="G19" s="2" t="s">
        <v>14</v>
      </c>
      <c r="H19" s="5">
        <f t="shared" si="7"/>
        <v>201300</v>
      </c>
      <c r="I19" s="5">
        <f t="shared" si="8"/>
        <v>201300</v>
      </c>
      <c r="J19" s="2" t="s">
        <v>15</v>
      </c>
      <c r="K19" s="39">
        <f t="shared" si="9"/>
        <v>201300</v>
      </c>
      <c r="L19" s="14">
        <v>175000</v>
      </c>
      <c r="M19" s="47"/>
      <c r="N19" s="47">
        <f>((SO+O)/8)*(45/60)+((P/9*5)/22)</f>
        <v>34558.396464646466</v>
      </c>
      <c r="O19" s="47">
        <f t="shared" si="10"/>
        <v>34558.396464646466</v>
      </c>
      <c r="P19" s="63">
        <f t="shared" si="11"/>
        <v>5.8249230460079824</v>
      </c>
      <c r="Q19" s="66">
        <f t="shared" si="12"/>
        <v>1.1502857142857144</v>
      </c>
      <c r="R19" s="64">
        <f t="shared" si="13"/>
        <v>166741.60353535353</v>
      </c>
      <c r="T19" s="85" t="s">
        <v>92</v>
      </c>
      <c r="U19" s="86"/>
      <c r="V19" s="87"/>
      <c r="W19" s="55">
        <f>SUM(W14:W17)</f>
        <v>560000</v>
      </c>
      <c r="X19" s="55"/>
      <c r="Y19" s="55">
        <f>SUM(Y14:Y17)</f>
        <v>646000</v>
      </c>
    </row>
    <row r="20" spans="1:25" ht="28.55" x14ac:dyDescent="0.25">
      <c r="A20" s="1">
        <v>3</v>
      </c>
      <c r="B20" s="4">
        <v>6</v>
      </c>
      <c r="C20" s="2" t="s">
        <v>20</v>
      </c>
      <c r="D20" s="2" t="s">
        <v>21</v>
      </c>
      <c r="E20" s="2" t="s">
        <v>13</v>
      </c>
      <c r="F20" s="5">
        <v>1</v>
      </c>
      <c r="G20" s="2" t="s">
        <v>14</v>
      </c>
      <c r="H20" s="5">
        <f t="shared" si="7"/>
        <v>80600</v>
      </c>
      <c r="I20" s="5">
        <f t="shared" si="8"/>
        <v>80600</v>
      </c>
      <c r="J20" s="2" t="s">
        <v>15</v>
      </c>
      <c r="K20" s="39">
        <f t="shared" si="9"/>
        <v>80600</v>
      </c>
      <c r="L20" s="14">
        <v>217600</v>
      </c>
      <c r="M20" s="47"/>
      <c r="N20" s="47">
        <f>((SP+SO)/8)*(45/60)</f>
        <v>32468.750000000004</v>
      </c>
      <c r="O20" s="47">
        <f t="shared" si="10"/>
        <v>32468.750000000004</v>
      </c>
      <c r="P20" s="63">
        <f t="shared" si="11"/>
        <v>2.4823869104908565</v>
      </c>
      <c r="Q20" s="66">
        <f t="shared" si="12"/>
        <v>0.3704044117647059</v>
      </c>
      <c r="R20" s="64">
        <f t="shared" si="13"/>
        <v>48131.25</v>
      </c>
      <c r="T20" s="57" t="s">
        <v>93</v>
      </c>
      <c r="U20" s="58"/>
      <c r="V20" s="59"/>
      <c r="W20" s="60">
        <f>+O13/W19</f>
        <v>0</v>
      </c>
      <c r="X20" s="55"/>
      <c r="Y20" s="60">
        <f>+O13/Y19</f>
        <v>0</v>
      </c>
    </row>
    <row r="21" spans="1:25" ht="28.55" x14ac:dyDescent="0.25">
      <c r="A21" s="1">
        <v>3</v>
      </c>
      <c r="B21" s="4">
        <v>7</v>
      </c>
      <c r="C21" s="2" t="s">
        <v>20</v>
      </c>
      <c r="D21" s="2" t="s">
        <v>22</v>
      </c>
      <c r="E21" s="2" t="s">
        <v>13</v>
      </c>
      <c r="F21" s="5">
        <v>1</v>
      </c>
      <c r="G21" s="2" t="s">
        <v>14</v>
      </c>
      <c r="H21" s="5">
        <f t="shared" si="7"/>
        <v>68500</v>
      </c>
      <c r="I21" s="5">
        <f t="shared" si="8"/>
        <v>68500</v>
      </c>
      <c r="J21" s="2" t="s">
        <v>15</v>
      </c>
      <c r="K21" s="39">
        <f t="shared" si="9"/>
        <v>68500</v>
      </c>
      <c r="L21" s="14">
        <v>185000</v>
      </c>
      <c r="M21" s="47"/>
      <c r="N21" s="47">
        <f>((SP+SO)/8)*(20/60)</f>
        <v>14430.555555555557</v>
      </c>
      <c r="O21" s="47">
        <f t="shared" si="10"/>
        <v>14430.555555555557</v>
      </c>
      <c r="P21" s="63">
        <f t="shared" si="11"/>
        <v>4.7468719923002887</v>
      </c>
      <c r="Q21" s="66">
        <f t="shared" si="12"/>
        <v>0.37027027027027026</v>
      </c>
      <c r="R21" s="64">
        <f t="shared" si="13"/>
        <v>54069.444444444445</v>
      </c>
      <c r="T21" s="57" t="s">
        <v>94</v>
      </c>
      <c r="U21" s="58"/>
      <c r="V21" s="59"/>
      <c r="W21" s="55">
        <f>+W20/26</f>
        <v>0</v>
      </c>
      <c r="X21" s="55"/>
      <c r="Y21" s="55">
        <f>+Y20/26</f>
        <v>0</v>
      </c>
    </row>
    <row r="22" spans="1:25" ht="28.55" x14ac:dyDescent="0.25">
      <c r="A22" s="1">
        <v>3</v>
      </c>
      <c r="B22" s="4">
        <v>8</v>
      </c>
      <c r="C22" s="2" t="s">
        <v>20</v>
      </c>
      <c r="D22" s="2" t="s">
        <v>23</v>
      </c>
      <c r="E22" s="2" t="s">
        <v>13</v>
      </c>
      <c r="F22" s="5">
        <v>1</v>
      </c>
      <c r="G22" s="2" t="s">
        <v>14</v>
      </c>
      <c r="H22" s="5">
        <f t="shared" si="7"/>
        <v>70700</v>
      </c>
      <c r="I22" s="5">
        <f t="shared" si="8"/>
        <v>70700</v>
      </c>
      <c r="J22" s="2" t="s">
        <v>15</v>
      </c>
      <c r="K22" s="39">
        <f t="shared" si="9"/>
        <v>70700</v>
      </c>
      <c r="L22" s="14">
        <v>191000</v>
      </c>
      <c r="M22" s="47"/>
      <c r="N22" s="47">
        <f>((SP+SO)/8)*(10/60)</f>
        <v>7215.2777777777783</v>
      </c>
      <c r="O22" s="47">
        <f t="shared" si="10"/>
        <v>7215.2777777777783</v>
      </c>
      <c r="P22" s="63">
        <f t="shared" si="11"/>
        <v>9.7986525505293542</v>
      </c>
      <c r="Q22" s="66">
        <f t="shared" si="12"/>
        <v>0.37015706806282722</v>
      </c>
      <c r="R22" s="64">
        <f t="shared" si="13"/>
        <v>63484.722222222219</v>
      </c>
    </row>
    <row r="23" spans="1:25" ht="28.55" x14ac:dyDescent="0.25">
      <c r="A23" s="1">
        <v>3</v>
      </c>
      <c r="B23" s="4">
        <v>9</v>
      </c>
      <c r="C23" s="2" t="s">
        <v>20</v>
      </c>
      <c r="D23" s="2" t="s">
        <v>24</v>
      </c>
      <c r="E23" s="2" t="s">
        <v>13</v>
      </c>
      <c r="F23" s="5">
        <v>1</v>
      </c>
      <c r="G23" s="2" t="s">
        <v>14</v>
      </c>
      <c r="H23" s="5">
        <f t="shared" si="7"/>
        <v>58400</v>
      </c>
      <c r="I23" s="5">
        <f t="shared" si="8"/>
        <v>58400</v>
      </c>
      <c r="J23" s="2" t="s">
        <v>15</v>
      </c>
      <c r="K23" s="39">
        <f t="shared" si="9"/>
        <v>58400</v>
      </c>
      <c r="L23" s="14">
        <v>157667</v>
      </c>
      <c r="M23" s="47"/>
      <c r="N23" s="47">
        <f>((SP+SO)/8)*(10/60)</f>
        <v>7215.2777777777783</v>
      </c>
      <c r="O23" s="47">
        <f t="shared" si="10"/>
        <v>7215.2777777777783</v>
      </c>
      <c r="P23" s="63">
        <f t="shared" si="11"/>
        <v>8.0939364773820976</v>
      </c>
      <c r="Q23" s="66">
        <f t="shared" si="12"/>
        <v>0.37040090824332295</v>
      </c>
      <c r="R23" s="64">
        <f t="shared" si="13"/>
        <v>51184.722222222219</v>
      </c>
    </row>
    <row r="24" spans="1:25" ht="28.55" x14ac:dyDescent="0.25">
      <c r="A24" s="1">
        <v>3</v>
      </c>
      <c r="B24" s="4">
        <v>10</v>
      </c>
      <c r="C24" s="2" t="s">
        <v>20</v>
      </c>
      <c r="D24" s="2" t="s">
        <v>25</v>
      </c>
      <c r="E24" s="2" t="s">
        <v>13</v>
      </c>
      <c r="F24" s="5">
        <v>1</v>
      </c>
      <c r="G24" s="2" t="s">
        <v>14</v>
      </c>
      <c r="H24" s="5">
        <f t="shared" si="7"/>
        <v>46800</v>
      </c>
      <c r="I24" s="5">
        <f t="shared" si="8"/>
        <v>46800</v>
      </c>
      <c r="J24" s="2" t="s">
        <v>15</v>
      </c>
      <c r="K24" s="39">
        <f t="shared" si="9"/>
        <v>46800</v>
      </c>
      <c r="L24" s="14">
        <v>126333</v>
      </c>
      <c r="M24" s="47"/>
      <c r="N24" s="47">
        <f>((SP+SO)/8)*(10/60)</f>
        <v>7215.2777777777783</v>
      </c>
      <c r="O24" s="47">
        <f t="shared" si="10"/>
        <v>7215.2777777777783</v>
      </c>
      <c r="P24" s="63">
        <f t="shared" si="11"/>
        <v>6.4862367661212703</v>
      </c>
      <c r="Q24" s="66">
        <f t="shared" si="12"/>
        <v>0.37044952625204813</v>
      </c>
      <c r="R24" s="64">
        <f t="shared" si="13"/>
        <v>39584.722222222219</v>
      </c>
    </row>
    <row r="25" spans="1:25" ht="28.55" x14ac:dyDescent="0.25">
      <c r="A25" s="1">
        <v>1</v>
      </c>
      <c r="B25" s="4">
        <v>11</v>
      </c>
      <c r="C25" s="2" t="s">
        <v>20</v>
      </c>
      <c r="D25" s="2" t="s">
        <v>26</v>
      </c>
      <c r="E25" s="2" t="s">
        <v>13</v>
      </c>
      <c r="F25" s="5">
        <v>1</v>
      </c>
      <c r="G25" s="2" t="s">
        <v>14</v>
      </c>
      <c r="H25" s="5">
        <f t="shared" si="7"/>
        <v>9100</v>
      </c>
      <c r="I25" s="5">
        <f t="shared" si="8"/>
        <v>9100</v>
      </c>
      <c r="J25" s="2" t="s">
        <v>15</v>
      </c>
      <c r="K25" s="39">
        <f>IFERROR(FLOOR(IF(AND((H25-L25)/L25&lt;-0.25,(H25-O25)&lt;0),IF(O25&gt;L25,M25*K$1,K$2*N25),H25),100),"")</f>
        <v>5400</v>
      </c>
      <c r="L25" s="14">
        <v>129000</v>
      </c>
      <c r="M25" s="47"/>
      <c r="N25" s="47">
        <f>((SP+SO)/8)*(15/60)</f>
        <v>10822.916666666668</v>
      </c>
      <c r="O25" s="47">
        <f t="shared" si="10"/>
        <v>10822.916666666668</v>
      </c>
      <c r="P25" s="63">
        <f t="shared" si="11"/>
        <v>0.49894128970163615</v>
      </c>
      <c r="Q25" s="66">
        <f t="shared" si="12"/>
        <v>4.1860465116279069E-2</v>
      </c>
    </row>
    <row r="26" spans="1:25" ht="28.55" x14ac:dyDescent="0.25">
      <c r="A26" s="1">
        <v>4</v>
      </c>
      <c r="B26" s="4">
        <v>12</v>
      </c>
      <c r="C26" s="2" t="s">
        <v>20</v>
      </c>
      <c r="D26" s="2" t="s">
        <v>27</v>
      </c>
      <c r="E26" s="2" t="s">
        <v>13</v>
      </c>
      <c r="F26" s="5">
        <v>1</v>
      </c>
      <c r="G26" s="2" t="s">
        <v>14</v>
      </c>
      <c r="H26" s="5">
        <f t="shared" si="7"/>
        <v>86600</v>
      </c>
      <c r="I26" s="5">
        <f t="shared" si="8"/>
        <v>86600</v>
      </c>
      <c r="J26" s="2" t="s">
        <v>15</v>
      </c>
      <c r="K26" s="39">
        <f t="shared" si="9"/>
        <v>86600</v>
      </c>
      <c r="L26" s="14">
        <v>139600</v>
      </c>
      <c r="M26" s="47"/>
      <c r="N26" s="47">
        <f>((SP+SO)/8)*2</f>
        <v>86583.333333333343</v>
      </c>
      <c r="O26" s="47">
        <f t="shared" si="10"/>
        <v>86583.333333333343</v>
      </c>
      <c r="P26" s="63">
        <f t="shared" si="11"/>
        <v>1.0001924927815207</v>
      </c>
      <c r="Q26" s="66">
        <f t="shared" si="12"/>
        <v>0.62034383954154726</v>
      </c>
      <c r="R26" s="64">
        <f t="shared" ref="R26:R30" si="14">+K26-O26</f>
        <v>16.666666666656965</v>
      </c>
    </row>
    <row r="27" spans="1:25" ht="28.55" x14ac:dyDescent="0.25">
      <c r="A27" s="1">
        <v>4</v>
      </c>
      <c r="B27" s="4">
        <v>13</v>
      </c>
      <c r="C27" s="2" t="s">
        <v>20</v>
      </c>
      <c r="D27" s="2" t="s">
        <v>28</v>
      </c>
      <c r="E27" s="2" t="s">
        <v>13</v>
      </c>
      <c r="F27" s="5">
        <v>1</v>
      </c>
      <c r="G27" s="2" t="s">
        <v>14</v>
      </c>
      <c r="H27" s="5">
        <f t="shared" si="7"/>
        <v>100100</v>
      </c>
      <c r="I27" s="5">
        <f t="shared" si="8"/>
        <v>100100</v>
      </c>
      <c r="J27" s="2" t="s">
        <v>15</v>
      </c>
      <c r="K27" s="39">
        <f t="shared" si="9"/>
        <v>100100</v>
      </c>
      <c r="L27" s="14">
        <v>161333</v>
      </c>
      <c r="M27" s="47"/>
      <c r="N27" s="47">
        <f>((SP+SO)/8)*(30/60)</f>
        <v>21645.833333333336</v>
      </c>
      <c r="O27" s="47">
        <f t="shared" si="10"/>
        <v>21645.833333333336</v>
      </c>
      <c r="P27" s="63">
        <f t="shared" si="11"/>
        <v>4.6244465832531274</v>
      </c>
      <c r="Q27" s="66">
        <f t="shared" si="12"/>
        <v>0.62045582738807314</v>
      </c>
      <c r="R27" s="64">
        <f t="shared" si="14"/>
        <v>78454.166666666657</v>
      </c>
    </row>
    <row r="28" spans="1:25" ht="28.55" x14ac:dyDescent="0.25">
      <c r="A28" s="1">
        <v>4</v>
      </c>
      <c r="B28" s="4">
        <v>14</v>
      </c>
      <c r="C28" s="2" t="s">
        <v>20</v>
      </c>
      <c r="D28" s="2" t="s">
        <v>29</v>
      </c>
      <c r="E28" s="2" t="s">
        <v>13</v>
      </c>
      <c r="F28" s="5">
        <v>1</v>
      </c>
      <c r="G28" s="2" t="s">
        <v>14</v>
      </c>
      <c r="H28" s="5">
        <f t="shared" si="7"/>
        <v>107500</v>
      </c>
      <c r="I28" s="5">
        <f t="shared" si="8"/>
        <v>107500</v>
      </c>
      <c r="J28" s="2" t="s">
        <v>15</v>
      </c>
      <c r="K28" s="39">
        <f t="shared" si="9"/>
        <v>107500</v>
      </c>
      <c r="L28" s="14">
        <v>173333</v>
      </c>
      <c r="M28" s="47"/>
      <c r="N28" s="47">
        <f>((SP+SO)/8)*(15/60)</f>
        <v>10822.916666666668</v>
      </c>
      <c r="O28" s="47">
        <f t="shared" si="10"/>
        <v>10822.916666666668</v>
      </c>
      <c r="P28" s="63">
        <f t="shared" si="11"/>
        <v>9.9326275264677566</v>
      </c>
      <c r="Q28" s="66">
        <f t="shared" si="12"/>
        <v>0.62019350037211607</v>
      </c>
      <c r="R28" s="64">
        <f t="shared" si="14"/>
        <v>96677.083333333328</v>
      </c>
    </row>
    <row r="29" spans="1:25" ht="28.55" x14ac:dyDescent="0.25">
      <c r="A29" s="1">
        <v>4</v>
      </c>
      <c r="B29" s="4">
        <v>15</v>
      </c>
      <c r="C29" s="2" t="s">
        <v>20</v>
      </c>
      <c r="D29" s="2" t="s">
        <v>30</v>
      </c>
      <c r="E29" s="2" t="s">
        <v>13</v>
      </c>
      <c r="F29" s="5">
        <v>1</v>
      </c>
      <c r="G29" s="2" t="s">
        <v>14</v>
      </c>
      <c r="H29" s="5">
        <f t="shared" si="7"/>
        <v>170400</v>
      </c>
      <c r="I29" s="5">
        <f t="shared" si="8"/>
        <v>170400</v>
      </c>
      <c r="J29" s="2" t="s">
        <v>15</v>
      </c>
      <c r="K29" s="39">
        <f t="shared" si="9"/>
        <v>170400</v>
      </c>
      <c r="L29" s="14">
        <v>274700</v>
      </c>
      <c r="M29" s="47"/>
      <c r="N29" s="47">
        <f>((SP+SO)/8)*(40/60)</f>
        <v>28861.111111111113</v>
      </c>
      <c r="O29" s="47">
        <f t="shared" si="10"/>
        <v>28861.111111111113</v>
      </c>
      <c r="P29" s="63">
        <f t="shared" si="11"/>
        <v>5.9041385948026948</v>
      </c>
      <c r="Q29" s="66">
        <f t="shared" si="12"/>
        <v>0.62031306880232984</v>
      </c>
      <c r="R29" s="64">
        <f t="shared" si="14"/>
        <v>141538.88888888888</v>
      </c>
    </row>
    <row r="30" spans="1:25" ht="28.55" x14ac:dyDescent="0.25">
      <c r="A30" s="1">
        <v>3</v>
      </c>
      <c r="B30" s="4">
        <v>16</v>
      </c>
      <c r="C30" s="2" t="s">
        <v>11</v>
      </c>
      <c r="D30" s="2" t="s">
        <v>31</v>
      </c>
      <c r="E30" s="2" t="s">
        <v>13</v>
      </c>
      <c r="F30" s="5">
        <v>1</v>
      </c>
      <c r="G30" s="2" t="s">
        <v>14</v>
      </c>
      <c r="H30" s="5">
        <f t="shared" si="7"/>
        <v>88700</v>
      </c>
      <c r="I30" s="5">
        <f t="shared" si="8"/>
        <v>88700</v>
      </c>
      <c r="J30" s="2" t="s">
        <v>15</v>
      </c>
      <c r="K30" s="39">
        <f t="shared" si="9"/>
        <v>88700</v>
      </c>
      <c r="L30" s="14">
        <v>239640</v>
      </c>
      <c r="M30" s="47"/>
      <c r="N30" s="47">
        <f>((SP+SO)/8)*(45/60)</f>
        <v>32468.750000000004</v>
      </c>
      <c r="O30" s="47">
        <f t="shared" si="10"/>
        <v>32468.750000000004</v>
      </c>
      <c r="P30" s="63">
        <f t="shared" si="11"/>
        <v>2.7318575553416742</v>
      </c>
      <c r="Q30" s="66">
        <f t="shared" si="12"/>
        <v>0.3701385411450509</v>
      </c>
      <c r="R30" s="64">
        <f t="shared" si="14"/>
        <v>56231.25</v>
      </c>
    </row>
    <row r="31" spans="1:25" ht="28.55" x14ac:dyDescent="0.25">
      <c r="A31" s="1">
        <v>2</v>
      </c>
      <c r="B31" s="4">
        <v>17</v>
      </c>
      <c r="C31" s="2" t="s">
        <v>11</v>
      </c>
      <c r="D31" s="2" t="s">
        <v>32</v>
      </c>
      <c r="E31" s="2" t="s">
        <v>13</v>
      </c>
      <c r="F31" s="5">
        <v>1</v>
      </c>
      <c r="G31" s="2" t="s">
        <v>14</v>
      </c>
      <c r="H31" s="5">
        <f t="shared" si="7"/>
        <v>76100</v>
      </c>
      <c r="I31" s="5">
        <f t="shared" si="8"/>
        <v>76100</v>
      </c>
      <c r="J31" s="2" t="s">
        <v>15</v>
      </c>
      <c r="K31" s="39">
        <f t="shared" si="9"/>
        <v>76100</v>
      </c>
      <c r="L31" s="14">
        <v>316667</v>
      </c>
      <c r="M31" s="47"/>
      <c r="N31" s="47">
        <f>((SP+SO)/8)*(45/60)</f>
        <v>32468.750000000004</v>
      </c>
      <c r="O31" s="47">
        <f t="shared" si="10"/>
        <v>32468.750000000004</v>
      </c>
      <c r="P31" s="63">
        <f t="shared" si="11"/>
        <v>2.3437921077959576</v>
      </c>
      <c r="Q31" s="66">
        <f t="shared" si="12"/>
        <v>0.24031553650996157</v>
      </c>
    </row>
    <row r="32" spans="1:25" ht="28.55" x14ac:dyDescent="0.25">
      <c r="A32" s="1">
        <v>2</v>
      </c>
      <c r="B32" s="4">
        <v>18</v>
      </c>
      <c r="C32" s="2" t="s">
        <v>11</v>
      </c>
      <c r="D32" s="2" t="s">
        <v>33</v>
      </c>
      <c r="E32" s="2" t="s">
        <v>13</v>
      </c>
      <c r="F32" s="5">
        <v>1</v>
      </c>
      <c r="G32" s="2" t="s">
        <v>14</v>
      </c>
      <c r="H32" s="5">
        <f t="shared" si="7"/>
        <v>53600</v>
      </c>
      <c r="I32" s="5">
        <f t="shared" si="8"/>
        <v>53600</v>
      </c>
      <c r="J32" s="2" t="s">
        <v>15</v>
      </c>
      <c r="K32" s="39">
        <f t="shared" si="9"/>
        <v>53600</v>
      </c>
      <c r="L32" s="14">
        <v>223333</v>
      </c>
      <c r="M32" s="47"/>
      <c r="N32" s="47">
        <f>((SP+SO)/8)*(45/60)</f>
        <v>32468.750000000004</v>
      </c>
      <c r="O32" s="47">
        <f t="shared" si="10"/>
        <v>32468.750000000004</v>
      </c>
      <c r="P32" s="63">
        <f t="shared" si="11"/>
        <v>1.6508180943214628</v>
      </c>
      <c r="Q32" s="66">
        <f t="shared" si="12"/>
        <v>0.24000035820948987</v>
      </c>
    </row>
    <row r="33" spans="1:18" ht="28.55" x14ac:dyDescent="0.25">
      <c r="A33" s="1">
        <v>1</v>
      </c>
      <c r="B33" s="4">
        <v>19</v>
      </c>
      <c r="C33" s="2" t="s">
        <v>20</v>
      </c>
      <c r="D33" s="2" t="s">
        <v>34</v>
      </c>
      <c r="E33" s="2" t="s">
        <v>13</v>
      </c>
      <c r="F33" s="5">
        <v>1</v>
      </c>
      <c r="G33" s="2" t="s">
        <v>14</v>
      </c>
      <c r="H33" s="5">
        <f t="shared" si="7"/>
        <v>10800</v>
      </c>
      <c r="I33" s="5">
        <f t="shared" si="8"/>
        <v>10800</v>
      </c>
      <c r="J33" s="2" t="s">
        <v>15</v>
      </c>
      <c r="K33" s="39">
        <f t="shared" si="9"/>
        <v>10800</v>
      </c>
      <c r="L33" s="14">
        <v>153667</v>
      </c>
      <c r="M33" s="47"/>
      <c r="N33" s="47">
        <f>((O+SO)/8)*(15/60)</f>
        <v>9781.25</v>
      </c>
      <c r="O33" s="47">
        <f t="shared" si="10"/>
        <v>9781.25</v>
      </c>
      <c r="P33" s="63">
        <f t="shared" si="11"/>
        <v>1.1041533546325879</v>
      </c>
      <c r="Q33" s="66">
        <f t="shared" si="12"/>
        <v>7.0281843206413869E-2</v>
      </c>
    </row>
    <row r="34" spans="1:18" ht="28.55" x14ac:dyDescent="0.25">
      <c r="A34" s="1">
        <v>2</v>
      </c>
      <c r="B34" s="4">
        <v>20</v>
      </c>
      <c r="C34" s="2" t="s">
        <v>20</v>
      </c>
      <c r="D34" s="2" t="s">
        <v>35</v>
      </c>
      <c r="E34" s="2" t="s">
        <v>13</v>
      </c>
      <c r="F34" s="5">
        <v>1</v>
      </c>
      <c r="G34" s="2" t="s">
        <v>14</v>
      </c>
      <c r="H34" s="5">
        <f t="shared" si="7"/>
        <v>28000</v>
      </c>
      <c r="I34" s="5">
        <f t="shared" si="8"/>
        <v>28000</v>
      </c>
      <c r="J34" s="2" t="s">
        <v>15</v>
      </c>
      <c r="K34" s="39">
        <f t="shared" si="9"/>
        <v>28000</v>
      </c>
      <c r="L34" s="14">
        <v>116633</v>
      </c>
      <c r="M34" s="47"/>
      <c r="N34" s="47">
        <f>((O+SO)/8)*(15/60)</f>
        <v>9781.25</v>
      </c>
      <c r="O34" s="47">
        <f t="shared" si="10"/>
        <v>9781.25</v>
      </c>
      <c r="P34" s="63">
        <f t="shared" si="11"/>
        <v>2.8626198083067091</v>
      </c>
      <c r="Q34" s="66">
        <f t="shared" si="12"/>
        <v>0.24006927713425874</v>
      </c>
    </row>
    <row r="35" spans="1:18" ht="28.55" x14ac:dyDescent="0.25">
      <c r="A35" s="1">
        <v>6</v>
      </c>
      <c r="B35" s="15">
        <v>21</v>
      </c>
      <c r="C35" s="2" t="s">
        <v>20</v>
      </c>
      <c r="D35" s="2" t="s">
        <v>36</v>
      </c>
      <c r="E35" s="2" t="s">
        <v>13</v>
      </c>
      <c r="F35" s="5">
        <v>1</v>
      </c>
      <c r="G35" s="2" t="s">
        <v>14</v>
      </c>
      <c r="H35" s="5">
        <f t="shared" si="7"/>
        <v>675200</v>
      </c>
      <c r="I35" s="5">
        <f t="shared" si="8"/>
        <v>675200</v>
      </c>
      <c r="J35" s="2" t="s">
        <v>15</v>
      </c>
      <c r="K35" s="39">
        <f t="shared" si="9"/>
        <v>675200</v>
      </c>
      <c r="L35" s="14">
        <v>587083</v>
      </c>
      <c r="M35" s="47">
        <v>1012950</v>
      </c>
      <c r="N35" s="47"/>
      <c r="O35" s="47">
        <f t="shared" si="10"/>
        <v>1012950</v>
      </c>
      <c r="P35" s="63">
        <f t="shared" si="11"/>
        <v>0.66656794511081496</v>
      </c>
      <c r="Q35" s="66">
        <f t="shared" si="12"/>
        <v>1.150092917015141</v>
      </c>
      <c r="R35" s="64">
        <f t="shared" ref="R35:R39" si="15">+K35-O35</f>
        <v>-337750</v>
      </c>
    </row>
    <row r="36" spans="1:18" ht="28.55" x14ac:dyDescent="0.25">
      <c r="A36" s="1">
        <v>6</v>
      </c>
      <c r="B36" s="15">
        <v>22</v>
      </c>
      <c r="C36" s="2" t="s">
        <v>20</v>
      </c>
      <c r="D36" s="2" t="s">
        <v>37</v>
      </c>
      <c r="E36" s="2" t="s">
        <v>13</v>
      </c>
      <c r="F36" s="5">
        <v>1</v>
      </c>
      <c r="G36" s="2" t="s">
        <v>14</v>
      </c>
      <c r="H36" s="5">
        <f t="shared" si="7"/>
        <v>536100</v>
      </c>
      <c r="I36" s="5">
        <f t="shared" si="8"/>
        <v>536100</v>
      </c>
      <c r="J36" s="2" t="s">
        <v>15</v>
      </c>
      <c r="K36" s="39">
        <f t="shared" si="9"/>
        <v>536100</v>
      </c>
      <c r="L36" s="14">
        <v>466096</v>
      </c>
      <c r="M36" s="47">
        <v>791000</v>
      </c>
      <c r="N36" s="47"/>
      <c r="O36" s="47">
        <f t="shared" si="10"/>
        <v>791000</v>
      </c>
      <c r="P36" s="63">
        <f t="shared" si="11"/>
        <v>0.67774968394437418</v>
      </c>
      <c r="Q36" s="66">
        <f t="shared" si="12"/>
        <v>1.1501922350760359</v>
      </c>
      <c r="R36" s="64">
        <f t="shared" si="15"/>
        <v>-254900</v>
      </c>
    </row>
    <row r="37" spans="1:18" ht="28.55" x14ac:dyDescent="0.25">
      <c r="A37" s="1">
        <v>6</v>
      </c>
      <c r="B37" s="15">
        <v>23</v>
      </c>
      <c r="C37" s="2" t="s">
        <v>20</v>
      </c>
      <c r="D37" s="2" t="s">
        <v>38</v>
      </c>
      <c r="E37" s="2" t="s">
        <v>13</v>
      </c>
      <c r="F37" s="5">
        <v>1</v>
      </c>
      <c r="G37" s="2" t="s">
        <v>14</v>
      </c>
      <c r="H37" s="5">
        <f t="shared" si="7"/>
        <v>480700</v>
      </c>
      <c r="I37" s="5">
        <f t="shared" si="8"/>
        <v>480700</v>
      </c>
      <c r="J37" s="2" t="s">
        <v>15</v>
      </c>
      <c r="K37" s="39">
        <f t="shared" si="9"/>
        <v>480700</v>
      </c>
      <c r="L37" s="14">
        <v>417948</v>
      </c>
      <c r="M37" s="47">
        <v>855125</v>
      </c>
      <c r="N37" s="47"/>
      <c r="O37" s="47">
        <f t="shared" si="10"/>
        <v>855125</v>
      </c>
      <c r="P37" s="63">
        <f t="shared" si="11"/>
        <v>0.56214003800613943</v>
      </c>
      <c r="Q37" s="66">
        <f t="shared" si="12"/>
        <v>1.1501430800003829</v>
      </c>
      <c r="R37" s="64">
        <f t="shared" si="15"/>
        <v>-374425</v>
      </c>
    </row>
    <row r="38" spans="1:18" ht="28.55" x14ac:dyDescent="0.25">
      <c r="A38" s="1">
        <v>4</v>
      </c>
      <c r="B38" s="15">
        <v>24</v>
      </c>
      <c r="C38" s="2" t="s">
        <v>20</v>
      </c>
      <c r="D38" s="62" t="s">
        <v>39</v>
      </c>
      <c r="E38" s="2" t="s">
        <v>13</v>
      </c>
      <c r="F38" s="5">
        <v>1</v>
      </c>
      <c r="G38" s="2" t="s">
        <v>14</v>
      </c>
      <c r="H38" s="5">
        <f t="shared" si="7"/>
        <v>746500</v>
      </c>
      <c r="I38" s="5">
        <f t="shared" si="8"/>
        <v>746500</v>
      </c>
      <c r="J38" s="2" t="s">
        <v>15</v>
      </c>
      <c r="K38" s="39">
        <f t="shared" si="9"/>
        <v>902900</v>
      </c>
      <c r="L38" s="14">
        <v>1203889</v>
      </c>
      <c r="M38" s="47">
        <f>1450000</f>
        <v>1450000</v>
      </c>
      <c r="N38" s="47"/>
      <c r="O38" s="47">
        <f t="shared" si="10"/>
        <v>1450000</v>
      </c>
      <c r="P38" s="63">
        <f t="shared" si="11"/>
        <v>0.62268965517241381</v>
      </c>
      <c r="Q38" s="66">
        <f t="shared" si="12"/>
        <v>0.74998608675716782</v>
      </c>
      <c r="R38" s="64">
        <f t="shared" si="15"/>
        <v>-547100</v>
      </c>
    </row>
    <row r="39" spans="1:18" ht="28.55" x14ac:dyDescent="0.25">
      <c r="A39" s="1">
        <v>4</v>
      </c>
      <c r="B39" s="15">
        <v>25</v>
      </c>
      <c r="C39" s="2" t="s">
        <v>20</v>
      </c>
      <c r="D39" s="2" t="s">
        <v>40</v>
      </c>
      <c r="E39" s="2" t="s">
        <v>13</v>
      </c>
      <c r="F39" s="5">
        <v>1</v>
      </c>
      <c r="G39" s="2" t="s">
        <v>14</v>
      </c>
      <c r="H39" s="5">
        <f t="shared" si="7"/>
        <v>3078000</v>
      </c>
      <c r="I39" s="5">
        <f t="shared" si="8"/>
        <v>3078000</v>
      </c>
      <c r="J39" s="2" t="s">
        <v>15</v>
      </c>
      <c r="K39" s="39">
        <f t="shared" si="9"/>
        <v>3078000</v>
      </c>
      <c r="L39" s="14">
        <f>4964467</f>
        <v>4964467</v>
      </c>
      <c r="M39" s="47">
        <v>1480000</v>
      </c>
      <c r="N39" s="47"/>
      <c r="O39" s="47">
        <f t="shared" si="10"/>
        <v>1480000</v>
      </c>
      <c r="P39" s="63">
        <f t="shared" si="11"/>
        <v>2.0797297297297299</v>
      </c>
      <c r="Q39" s="66">
        <f t="shared" si="12"/>
        <v>0.62000613560327822</v>
      </c>
      <c r="R39" s="64">
        <f t="shared" si="15"/>
        <v>1598000</v>
      </c>
    </row>
    <row r="40" spans="1:18" ht="28.55" x14ac:dyDescent="0.25">
      <c r="A40" s="1">
        <v>2</v>
      </c>
      <c r="B40" s="15">
        <v>26</v>
      </c>
      <c r="C40" s="2" t="s">
        <v>20</v>
      </c>
      <c r="D40" s="2" t="s">
        <v>41</v>
      </c>
      <c r="E40" s="2" t="s">
        <v>13</v>
      </c>
      <c r="F40" s="5">
        <v>1</v>
      </c>
      <c r="G40" s="2" t="s">
        <v>14</v>
      </c>
      <c r="H40" s="5">
        <f t="shared" si="7"/>
        <v>543100</v>
      </c>
      <c r="I40" s="5">
        <f t="shared" si="8"/>
        <v>543100</v>
      </c>
      <c r="J40" s="2" t="s">
        <v>15</v>
      </c>
      <c r="K40" s="39">
        <f t="shared" si="9"/>
        <v>550000</v>
      </c>
      <c r="L40" s="14">
        <v>2262750</v>
      </c>
      <c r="M40" s="47">
        <v>1100000</v>
      </c>
      <c r="N40" s="47"/>
      <c r="O40" s="47">
        <f t="shared" si="10"/>
        <v>1100000</v>
      </c>
      <c r="P40" s="63">
        <f t="shared" si="11"/>
        <v>0.5</v>
      </c>
      <c r="Q40" s="66">
        <f t="shared" si="12"/>
        <v>0.24306706441277207</v>
      </c>
    </row>
    <row r="41" spans="1:18" ht="28.55" x14ac:dyDescent="0.25">
      <c r="A41" s="1">
        <v>13</v>
      </c>
      <c r="B41" s="15">
        <v>27</v>
      </c>
      <c r="C41" s="2" t="s">
        <v>20</v>
      </c>
      <c r="D41" s="2" t="s">
        <v>42</v>
      </c>
      <c r="E41" s="2" t="s">
        <v>13</v>
      </c>
      <c r="F41" s="5">
        <v>1</v>
      </c>
      <c r="G41" s="2" t="s">
        <v>14</v>
      </c>
      <c r="H41" s="5">
        <f t="shared" si="7"/>
        <v>333700</v>
      </c>
      <c r="I41" s="5">
        <f t="shared" si="8"/>
        <v>333700</v>
      </c>
      <c r="J41" s="2" t="s">
        <v>15</v>
      </c>
      <c r="K41" s="39">
        <f t="shared" si="9"/>
        <v>2796300</v>
      </c>
      <c r="L41" s="14">
        <v>8340667</v>
      </c>
      <c r="M41" s="47">
        <f>9321000*0.6</f>
        <v>5592600</v>
      </c>
      <c r="N41" s="47"/>
      <c r="O41" s="47">
        <f t="shared" si="10"/>
        <v>5592600</v>
      </c>
      <c r="P41" s="63">
        <f t="shared" si="11"/>
        <v>0.5</v>
      </c>
      <c r="Q41" s="66">
        <f t="shared" si="12"/>
        <v>0.33526095694744795</v>
      </c>
    </row>
    <row r="42" spans="1:18" ht="28.55" x14ac:dyDescent="0.25">
      <c r="A42" s="1">
        <v>2</v>
      </c>
      <c r="B42" s="15">
        <v>28</v>
      </c>
      <c r="C42" s="2" t="s">
        <v>20</v>
      </c>
      <c r="D42" s="2" t="s">
        <v>43</v>
      </c>
      <c r="E42" s="2" t="s">
        <v>13</v>
      </c>
      <c r="F42" s="5">
        <v>1</v>
      </c>
      <c r="G42" s="2" t="s">
        <v>14</v>
      </c>
      <c r="H42" s="5">
        <f t="shared" si="7"/>
        <v>103400</v>
      </c>
      <c r="I42" s="5">
        <f t="shared" si="8"/>
        <v>103400</v>
      </c>
      <c r="J42" s="2" t="s">
        <v>15</v>
      </c>
      <c r="K42" s="39">
        <f t="shared" si="9"/>
        <v>323000</v>
      </c>
      <c r="L42" s="14">
        <v>430762</v>
      </c>
      <c r="M42" s="47">
        <v>679400</v>
      </c>
      <c r="N42" s="47"/>
      <c r="O42" s="47">
        <f t="shared" si="10"/>
        <v>679400</v>
      </c>
      <c r="P42" s="63">
        <f t="shared" si="11"/>
        <v>0.47541948778333826</v>
      </c>
      <c r="Q42" s="66">
        <f t="shared" si="12"/>
        <v>0.74983401507096725</v>
      </c>
    </row>
    <row r="43" spans="1:18" ht="28.55" x14ac:dyDescent="0.25">
      <c r="A43" s="1">
        <v>2</v>
      </c>
      <c r="B43" s="15">
        <v>29</v>
      </c>
      <c r="C43" s="2" t="s">
        <v>20</v>
      </c>
      <c r="D43" s="2" t="s">
        <v>44</v>
      </c>
      <c r="E43" s="2" t="s">
        <v>13</v>
      </c>
      <c r="F43" s="5">
        <v>1</v>
      </c>
      <c r="G43" s="2" t="s">
        <v>14</v>
      </c>
      <c r="H43" s="5">
        <f t="shared" si="7"/>
        <v>266400</v>
      </c>
      <c r="I43" s="5">
        <f t="shared" si="8"/>
        <v>266400</v>
      </c>
      <c r="J43" s="2" t="s">
        <v>15</v>
      </c>
      <c r="K43" s="39">
        <f t="shared" si="9"/>
        <v>832500</v>
      </c>
      <c r="L43" s="14">
        <v>1110000</v>
      </c>
      <c r="M43" s="47">
        <v>2000000</v>
      </c>
      <c r="N43" s="47"/>
      <c r="O43" s="47">
        <f t="shared" si="10"/>
        <v>2000000</v>
      </c>
      <c r="P43" s="63">
        <f t="shared" si="11"/>
        <v>0.41625000000000001</v>
      </c>
      <c r="Q43" s="66">
        <f t="shared" si="12"/>
        <v>0.75</v>
      </c>
    </row>
    <row r="44" spans="1:18" ht="28.55" x14ac:dyDescent="0.25">
      <c r="A44" s="1">
        <v>2</v>
      </c>
      <c r="B44" s="15">
        <v>30</v>
      </c>
      <c r="C44" s="2" t="s">
        <v>20</v>
      </c>
      <c r="D44" s="2" t="s">
        <v>45</v>
      </c>
      <c r="E44" s="2" t="s">
        <v>13</v>
      </c>
      <c r="F44" s="5">
        <v>1</v>
      </c>
      <c r="G44" s="2" t="s">
        <v>14</v>
      </c>
      <c r="H44" s="5">
        <f t="shared" si="7"/>
        <v>131400</v>
      </c>
      <c r="I44" s="5">
        <f t="shared" si="8"/>
        <v>131400</v>
      </c>
      <c r="J44" s="2" t="s">
        <v>15</v>
      </c>
      <c r="K44" s="39">
        <f t="shared" si="9"/>
        <v>192500</v>
      </c>
      <c r="L44" s="14">
        <v>547111</v>
      </c>
      <c r="M44" s="47">
        <f>550000*0.7</f>
        <v>385000</v>
      </c>
      <c r="N44" s="47"/>
      <c r="O44" s="47">
        <f t="shared" si="10"/>
        <v>385000</v>
      </c>
      <c r="P44" s="63">
        <f t="shared" si="11"/>
        <v>0.5</v>
      </c>
      <c r="Q44" s="66">
        <f t="shared" si="12"/>
        <v>0.35184816243870076</v>
      </c>
    </row>
    <row r="45" spans="1:18" ht="28.55" x14ac:dyDescent="0.25">
      <c r="A45" s="1">
        <v>2</v>
      </c>
      <c r="B45" s="15">
        <v>31</v>
      </c>
      <c r="C45" s="2" t="s">
        <v>20</v>
      </c>
      <c r="D45" s="2" t="s">
        <v>46</v>
      </c>
      <c r="E45" s="2" t="s">
        <v>13</v>
      </c>
      <c r="F45" s="5">
        <v>1</v>
      </c>
      <c r="G45" s="2" t="s">
        <v>14</v>
      </c>
      <c r="H45" s="5">
        <f t="shared" si="7"/>
        <v>259200</v>
      </c>
      <c r="I45" s="5">
        <f t="shared" si="8"/>
        <v>259200</v>
      </c>
      <c r="J45" s="2" t="s">
        <v>15</v>
      </c>
      <c r="K45" s="39">
        <f t="shared" si="9"/>
        <v>514600</v>
      </c>
      <c r="L45" s="14">
        <v>1079689</v>
      </c>
      <c r="M45" s="47">
        <f>1871400*0.55</f>
        <v>1029270.0000000001</v>
      </c>
      <c r="N45" s="47"/>
      <c r="O45" s="47">
        <f t="shared" si="10"/>
        <v>1029270.0000000001</v>
      </c>
      <c r="P45" s="63">
        <f t="shared" si="11"/>
        <v>0.49996599531706931</v>
      </c>
      <c r="Q45" s="66">
        <f t="shared" si="12"/>
        <v>0.47661873002318261</v>
      </c>
    </row>
    <row r="46" spans="1:18" ht="28.55" x14ac:dyDescent="0.25">
      <c r="A46" s="1">
        <v>2</v>
      </c>
      <c r="B46" s="15">
        <v>32</v>
      </c>
      <c r="C46" s="2" t="s">
        <v>20</v>
      </c>
      <c r="D46" s="2" t="s">
        <v>47</v>
      </c>
      <c r="E46" s="2" t="s">
        <v>13</v>
      </c>
      <c r="F46" s="5">
        <v>1</v>
      </c>
      <c r="G46" s="2" t="s">
        <v>14</v>
      </c>
      <c r="H46" s="5">
        <f t="shared" si="7"/>
        <v>366500</v>
      </c>
      <c r="I46" s="5">
        <f t="shared" si="8"/>
        <v>366500</v>
      </c>
      <c r="J46" s="2" t="s">
        <v>15</v>
      </c>
      <c r="K46" s="39">
        <f t="shared" si="9"/>
        <v>1145000</v>
      </c>
      <c r="L46" s="14">
        <v>1526733</v>
      </c>
      <c r="M46" s="47">
        <v>3300000</v>
      </c>
      <c r="N46" s="47"/>
      <c r="O46" s="47">
        <f t="shared" si="10"/>
        <v>3300000</v>
      </c>
      <c r="P46" s="63">
        <f t="shared" si="11"/>
        <v>0.34696969696969698</v>
      </c>
      <c r="Q46" s="66">
        <f t="shared" si="12"/>
        <v>0.74996741407960654</v>
      </c>
    </row>
    <row r="47" spans="1:18" ht="28.55" x14ac:dyDescent="0.25">
      <c r="A47" s="1">
        <v>1</v>
      </c>
      <c r="B47" s="4">
        <v>33</v>
      </c>
      <c r="C47" s="2" t="s">
        <v>20</v>
      </c>
      <c r="D47" s="2" t="s">
        <v>48</v>
      </c>
      <c r="E47" s="2" t="s">
        <v>13</v>
      </c>
      <c r="F47" s="5">
        <v>1</v>
      </c>
      <c r="G47" s="2" t="s">
        <v>14</v>
      </c>
      <c r="H47" s="5">
        <f t="shared" si="7"/>
        <v>124500</v>
      </c>
      <c r="I47" s="5">
        <f t="shared" si="8"/>
        <v>124500</v>
      </c>
      <c r="J47" s="2" t="s">
        <v>15</v>
      </c>
      <c r="K47" s="39">
        <f>IFERROR(FLOOR(IF(AND((H47-L47)/L47&lt;-0.25,(H47-O47)&lt;0),IF(O47&gt;L47,L47*K$1,K$2*O47),H47),100),"")</f>
        <v>1332900</v>
      </c>
      <c r="L47" s="14">
        <v>1777203</v>
      </c>
      <c r="M47" s="47">
        <f>4531077</f>
        <v>4531077</v>
      </c>
      <c r="N47" s="47"/>
      <c r="O47" s="47">
        <f t="shared" si="10"/>
        <v>4531077</v>
      </c>
      <c r="P47" s="63">
        <f t="shared" si="11"/>
        <v>0.2941684725287167</v>
      </c>
      <c r="Q47" s="66">
        <f t="shared" si="12"/>
        <v>0.74999873396567529</v>
      </c>
    </row>
    <row r="48" spans="1:18" ht="28.55" x14ac:dyDescent="0.25">
      <c r="A48" s="1">
        <v>1</v>
      </c>
      <c r="B48" s="15">
        <v>34</v>
      </c>
      <c r="C48" s="2" t="s">
        <v>20</v>
      </c>
      <c r="D48" s="2" t="s">
        <v>49</v>
      </c>
      <c r="E48" s="2" t="s">
        <v>13</v>
      </c>
      <c r="F48" s="5">
        <v>1</v>
      </c>
      <c r="G48" s="2" t="s">
        <v>14</v>
      </c>
      <c r="H48" s="5">
        <f t="shared" si="7"/>
        <v>190900</v>
      </c>
      <c r="I48" s="5">
        <f t="shared" si="8"/>
        <v>190900</v>
      </c>
      <c r="J48" s="2" t="s">
        <v>15</v>
      </c>
      <c r="K48" s="39">
        <f t="shared" si="9"/>
        <v>2045000</v>
      </c>
      <c r="L48" s="14">
        <v>2726689</v>
      </c>
      <c r="M48" s="47">
        <f>6950000</f>
        <v>6950000</v>
      </c>
      <c r="N48" s="47"/>
      <c r="O48" s="47">
        <f t="shared" si="10"/>
        <v>6950000</v>
      </c>
      <c r="P48" s="63">
        <f t="shared" si="11"/>
        <v>0.29424460431654675</v>
      </c>
      <c r="Q48" s="66">
        <f t="shared" si="12"/>
        <v>0.7499938570185305</v>
      </c>
    </row>
    <row r="49" spans="1:18" ht="28.55" x14ac:dyDescent="0.25">
      <c r="A49" s="53">
        <v>1</v>
      </c>
      <c r="B49" s="4">
        <v>35</v>
      </c>
      <c r="C49" s="2" t="s">
        <v>20</v>
      </c>
      <c r="D49" s="2" t="s">
        <v>50</v>
      </c>
      <c r="E49" s="2" t="s">
        <v>13</v>
      </c>
      <c r="F49" s="5">
        <v>1</v>
      </c>
      <c r="G49" s="2" t="s">
        <v>14</v>
      </c>
      <c r="H49" s="5">
        <f t="shared" si="7"/>
        <v>23600</v>
      </c>
      <c r="I49" s="5">
        <f t="shared" si="8"/>
        <v>23600</v>
      </c>
      <c r="J49" s="2" t="s">
        <v>15</v>
      </c>
      <c r="K49" s="39">
        <f t="shared" si="9"/>
        <v>161800</v>
      </c>
      <c r="L49" s="14">
        <v>336333</v>
      </c>
      <c r="M49" s="47"/>
      <c r="N49" s="47">
        <f>+(SP+P+O)/9*5</f>
        <v>323796.29629629629</v>
      </c>
      <c r="O49" s="47">
        <f t="shared" si="10"/>
        <v>323796.29629629629</v>
      </c>
      <c r="P49" s="63">
        <f t="shared" si="11"/>
        <v>0.49969688304260795</v>
      </c>
      <c r="Q49" s="66">
        <f t="shared" si="12"/>
        <v>0.48107084347952772</v>
      </c>
    </row>
    <row r="50" spans="1:18" ht="28.55" x14ac:dyDescent="0.25">
      <c r="A50" s="1">
        <v>1</v>
      </c>
      <c r="B50" s="15">
        <v>36</v>
      </c>
      <c r="C50" s="2" t="s">
        <v>20</v>
      </c>
      <c r="D50" s="2" t="s">
        <v>51</v>
      </c>
      <c r="E50" s="2" t="s">
        <v>13</v>
      </c>
      <c r="F50" s="5">
        <v>1</v>
      </c>
      <c r="G50" s="2" t="s">
        <v>14</v>
      </c>
      <c r="H50" s="5">
        <f t="shared" si="7"/>
        <v>65500</v>
      </c>
      <c r="I50" s="5">
        <f t="shared" si="8"/>
        <v>65500</v>
      </c>
      <c r="J50" s="2" t="s">
        <v>15</v>
      </c>
      <c r="K50" s="39">
        <f t="shared" si="9"/>
        <v>375000</v>
      </c>
      <c r="L50" s="14">
        <v>935511</v>
      </c>
      <c r="M50" s="47">
        <v>750000</v>
      </c>
      <c r="N50" s="47"/>
      <c r="O50" s="47">
        <f t="shared" si="10"/>
        <v>750000</v>
      </c>
      <c r="P50" s="63">
        <f t="shared" si="11"/>
        <v>0.5</v>
      </c>
      <c r="Q50" s="66">
        <f t="shared" si="12"/>
        <v>0.40085044430263245</v>
      </c>
    </row>
    <row r="51" spans="1:18" ht="28.55" x14ac:dyDescent="0.25">
      <c r="A51" s="1">
        <v>1</v>
      </c>
      <c r="B51" s="15">
        <v>37</v>
      </c>
      <c r="C51" s="2" t="s">
        <v>20</v>
      </c>
      <c r="D51" s="2" t="s">
        <v>52</v>
      </c>
      <c r="E51" s="2" t="s">
        <v>13</v>
      </c>
      <c r="F51" s="5">
        <v>1</v>
      </c>
      <c r="G51" s="2" t="s">
        <v>14</v>
      </c>
      <c r="H51" s="5">
        <f t="shared" si="7"/>
        <v>164800</v>
      </c>
      <c r="I51" s="5">
        <f t="shared" si="8"/>
        <v>164800</v>
      </c>
      <c r="J51" s="2" t="s">
        <v>15</v>
      </c>
      <c r="K51" s="39">
        <f t="shared" si="9"/>
        <v>283500</v>
      </c>
      <c r="L51" s="14">
        <v>2353986</v>
      </c>
      <c r="M51" s="47">
        <f>567195</f>
        <v>567195</v>
      </c>
      <c r="N51" s="47"/>
      <c r="O51" s="47">
        <f t="shared" si="10"/>
        <v>567195</v>
      </c>
      <c r="P51" s="63">
        <f t="shared" si="11"/>
        <v>0.49982810144659245</v>
      </c>
      <c r="Q51" s="66">
        <f t="shared" si="12"/>
        <v>0.12043402127285378</v>
      </c>
    </row>
    <row r="52" spans="1:18" ht="28.55" x14ac:dyDescent="0.25">
      <c r="A52" s="1">
        <v>1</v>
      </c>
      <c r="B52" s="15">
        <v>38</v>
      </c>
      <c r="C52" s="2" t="s">
        <v>20</v>
      </c>
      <c r="D52" s="2" t="s">
        <v>53</v>
      </c>
      <c r="E52" s="2" t="s">
        <v>13</v>
      </c>
      <c r="F52" s="5">
        <v>1</v>
      </c>
      <c r="G52" s="2" t="s">
        <v>14</v>
      </c>
      <c r="H52" s="5">
        <f t="shared" si="7"/>
        <v>33700</v>
      </c>
      <c r="I52" s="5">
        <f t="shared" si="8"/>
        <v>33700</v>
      </c>
      <c r="J52" s="2" t="s">
        <v>15</v>
      </c>
      <c r="K52" s="39">
        <f t="shared" si="9"/>
        <v>360000</v>
      </c>
      <c r="L52" s="14">
        <v>480111</v>
      </c>
      <c r="M52" s="47">
        <v>770000</v>
      </c>
      <c r="N52" s="47"/>
      <c r="O52" s="47">
        <f t="shared" si="10"/>
        <v>770000</v>
      </c>
      <c r="P52" s="63">
        <f t="shared" si="11"/>
        <v>0.46753246753246752</v>
      </c>
      <c r="Q52" s="66">
        <f t="shared" si="12"/>
        <v>0.74982660259814915</v>
      </c>
    </row>
    <row r="53" spans="1:18" ht="28.55" x14ac:dyDescent="0.25">
      <c r="A53" s="1">
        <v>1</v>
      </c>
      <c r="B53" s="15">
        <v>39</v>
      </c>
      <c r="C53" s="2" t="s">
        <v>20</v>
      </c>
      <c r="D53" s="2" t="s">
        <v>54</v>
      </c>
      <c r="E53" s="2" t="s">
        <v>13</v>
      </c>
      <c r="F53" s="5">
        <v>1</v>
      </c>
      <c r="G53" s="2" t="s">
        <v>14</v>
      </c>
      <c r="H53" s="5">
        <f t="shared" si="7"/>
        <v>145900</v>
      </c>
      <c r="I53" s="5">
        <f t="shared" si="8"/>
        <v>145900</v>
      </c>
      <c r="J53" s="2" t="s">
        <v>15</v>
      </c>
      <c r="K53" s="39">
        <f t="shared" si="9"/>
        <v>1562600</v>
      </c>
      <c r="L53" s="14">
        <v>2083511</v>
      </c>
      <c r="M53" s="47">
        <f>4550000</f>
        <v>4550000</v>
      </c>
      <c r="N53" s="47"/>
      <c r="O53" s="47">
        <f t="shared" si="10"/>
        <v>4550000</v>
      </c>
      <c r="P53" s="63">
        <f t="shared" si="11"/>
        <v>0.34342857142857142</v>
      </c>
      <c r="Q53" s="66">
        <f t="shared" si="12"/>
        <v>0.74998404136095276</v>
      </c>
    </row>
    <row r="54" spans="1:18" ht="28.55" x14ac:dyDescent="0.25">
      <c r="A54" s="1">
        <v>2</v>
      </c>
      <c r="B54" s="15">
        <v>40</v>
      </c>
      <c r="C54" s="2" t="s">
        <v>20</v>
      </c>
      <c r="D54" s="2" t="s">
        <v>55</v>
      </c>
      <c r="E54" s="2" t="s">
        <v>13</v>
      </c>
      <c r="F54" s="5">
        <v>1</v>
      </c>
      <c r="G54" s="2" t="s">
        <v>14</v>
      </c>
      <c r="H54" s="5">
        <f t="shared" si="7"/>
        <v>374300</v>
      </c>
      <c r="I54" s="5">
        <f t="shared" si="8"/>
        <v>374300</v>
      </c>
      <c r="J54" s="2" t="s">
        <v>15</v>
      </c>
      <c r="K54" s="39">
        <f t="shared" si="9"/>
        <v>1169500</v>
      </c>
      <c r="L54" s="14">
        <v>1559358</v>
      </c>
      <c r="M54" s="47">
        <v>3272875</v>
      </c>
      <c r="N54" s="47"/>
      <c r="O54" s="47">
        <f t="shared" si="10"/>
        <v>3272875</v>
      </c>
      <c r="P54" s="63">
        <f t="shared" si="11"/>
        <v>0.35733109269373259</v>
      </c>
      <c r="Q54" s="66">
        <f t="shared" si="12"/>
        <v>0.7499881361432077</v>
      </c>
    </row>
    <row r="55" spans="1:18" ht="28.55" x14ac:dyDescent="0.25">
      <c r="A55" s="1">
        <v>1</v>
      </c>
      <c r="B55" s="15">
        <v>41</v>
      </c>
      <c r="C55" s="2" t="s">
        <v>20</v>
      </c>
      <c r="D55" s="2" t="s">
        <v>56</v>
      </c>
      <c r="E55" s="2" t="s">
        <v>13</v>
      </c>
      <c r="F55" s="5">
        <v>1</v>
      </c>
      <c r="G55" s="2" t="s">
        <v>14</v>
      </c>
      <c r="H55" s="5">
        <f t="shared" si="7"/>
        <v>33200</v>
      </c>
      <c r="I55" s="5">
        <f t="shared" si="8"/>
        <v>33200</v>
      </c>
      <c r="J55" s="2" t="s">
        <v>15</v>
      </c>
      <c r="K55" s="39">
        <f t="shared" si="9"/>
        <v>195000</v>
      </c>
      <c r="L55" s="14">
        <v>473444</v>
      </c>
      <c r="M55" s="47">
        <f>650000*0.6</f>
        <v>390000</v>
      </c>
      <c r="N55" s="47"/>
      <c r="O55" s="47">
        <f t="shared" si="10"/>
        <v>390000</v>
      </c>
      <c r="P55" s="63">
        <f t="shared" si="11"/>
        <v>0.5</v>
      </c>
      <c r="Q55" s="66">
        <f t="shared" si="12"/>
        <v>0.41187553332601112</v>
      </c>
    </row>
    <row r="56" spans="1:18" ht="28.55" x14ac:dyDescent="0.25">
      <c r="A56" s="1">
        <v>1</v>
      </c>
      <c r="B56" s="15">
        <v>42</v>
      </c>
      <c r="C56" s="2" t="s">
        <v>20</v>
      </c>
      <c r="D56" s="2" t="s">
        <v>57</v>
      </c>
      <c r="E56" s="2" t="s">
        <v>13</v>
      </c>
      <c r="F56" s="5">
        <v>1</v>
      </c>
      <c r="G56" s="2" t="s">
        <v>14</v>
      </c>
      <c r="H56" s="5">
        <f t="shared" si="7"/>
        <v>15300</v>
      </c>
      <c r="I56" s="5">
        <f t="shared" si="8"/>
        <v>15300</v>
      </c>
      <c r="J56" s="2" t="s">
        <v>15</v>
      </c>
      <c r="K56" s="39">
        <f t="shared" si="9"/>
        <v>75000</v>
      </c>
      <c r="L56" s="14">
        <v>218000</v>
      </c>
      <c r="M56" s="47">
        <v>150000</v>
      </c>
      <c r="N56" s="47"/>
      <c r="O56" s="47">
        <f t="shared" si="10"/>
        <v>150000</v>
      </c>
      <c r="P56" s="63">
        <f t="shared" si="11"/>
        <v>0.5</v>
      </c>
      <c r="Q56" s="66">
        <f t="shared" si="12"/>
        <v>0.34403669724770641</v>
      </c>
    </row>
    <row r="57" spans="1:18" x14ac:dyDescent="0.25">
      <c r="H57" s="2" t="s">
        <v>58</v>
      </c>
      <c r="I57" s="5">
        <f>SUM(I15:I56)</f>
        <v>10687200</v>
      </c>
      <c r="K57" s="5">
        <f>SUM(K15:K56)</f>
        <v>21578700</v>
      </c>
      <c r="M57" s="48"/>
      <c r="N57" s="48"/>
      <c r="O57" s="48"/>
    </row>
    <row r="58" spans="1:18" x14ac:dyDescent="0.25">
      <c r="M58" s="48"/>
      <c r="N58" s="48"/>
      <c r="O58" s="48">
        <f>SUM(O15:O57)</f>
        <v>42447330.278619528</v>
      </c>
    </row>
    <row r="59" spans="1:18" x14ac:dyDescent="0.25">
      <c r="R59" s="61">
        <f>SUBTOTAL(9,R15:R39)</f>
        <v>1479805.9343434344</v>
      </c>
    </row>
    <row r="60" spans="1:18" ht="21.1" x14ac:dyDescent="0.25">
      <c r="H60" s="6" t="s">
        <v>59</v>
      </c>
      <c r="I60" s="7">
        <f>I57</f>
        <v>10687200</v>
      </c>
    </row>
    <row r="64" spans="1:18" x14ac:dyDescent="0.25">
      <c r="C64" s="8" t="s">
        <v>60</v>
      </c>
      <c r="D64" s="8"/>
    </row>
    <row r="65" spans="3:4" ht="28.55" x14ac:dyDescent="0.25">
      <c r="C65" s="1" t="s">
        <v>61</v>
      </c>
      <c r="D65" s="1" t="s">
        <v>62</v>
      </c>
    </row>
    <row r="66" spans="3:4" ht="28.55" x14ac:dyDescent="0.25">
      <c r="C66" s="1" t="s">
        <v>63</v>
      </c>
      <c r="D66" s="1" t="s">
        <v>64</v>
      </c>
    </row>
  </sheetData>
  <autoFilter ref="A13:Z58" xr:uid="{00000000-0001-0000-0000-000000000000}">
    <filterColumn colId="1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</autoFilter>
  <mergeCells count="4">
    <mergeCell ref="B11:J11"/>
    <mergeCell ref="B13:J13"/>
    <mergeCell ref="T11:Y11"/>
    <mergeCell ref="T19:V19"/>
  </mergeCells>
  <conditionalFormatting sqref="J1:J7">
    <cfRule type="cellIs" dxfId="0" priority="5" operator="lessThan">
      <formula>0</formula>
    </cfRule>
  </conditionalFormatting>
  <conditionalFormatting sqref="K15:K56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1:L56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15:O5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ignoredErrors>
    <ignoredError sqref="O15:O56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5</vt:i4>
      </vt:variant>
    </vt:vector>
  </HeadingPairs>
  <TitlesOfParts>
    <vt:vector size="7" baseType="lpstr">
      <vt:lpstr>OFERTA</vt:lpstr>
      <vt:lpstr>COSTEO</vt:lpstr>
      <vt:lpstr>A</vt:lpstr>
      <vt:lpstr>O</vt:lpstr>
      <vt:lpstr>P</vt:lpstr>
      <vt:lpstr>SO</vt:lpstr>
      <vt:lpstr>SP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Owner</cp:lastModifiedBy>
  <cp:lastPrinted>2025-05-06T11:10:43Z</cp:lastPrinted>
  <dcterms:created xsi:type="dcterms:W3CDTF">2025-05-05T18:39:22Z</dcterms:created>
  <dcterms:modified xsi:type="dcterms:W3CDTF">2025-06-04T20:06:16Z</dcterms:modified>
  <cp:category/>
</cp:coreProperties>
</file>