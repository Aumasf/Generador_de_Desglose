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items" sheetId="1" r:id="rId1"/>
    <sheet name="reporte" sheetId="2" r:id="rId2"/>
  </sheets>
  <definedNames>
    <definedName name="_xlnm.Print_Area" localSheetId="0">items!$A$1:$J$225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<sst xmlns="http://schemas.openxmlformats.org/spreadsheetml/2006/main" count="4283" uniqueCount="391">
  <si>
    <t>Ítems del llamado MANTENIMIENTO Y REPARACION DE EQUIPOS DE REFRIGERACION - AD REFERENDUM 2024 con ID: 439923</t>
  </si>
  <si>
    <t>LoteTotal, Contrato Abierto: por Monto. Mínimo: 35.645.000 Máximo: 71.290.000 , Abastecimiento simultáneo: No</t>
  </si>
  <si>
    <t>Ítem</t>
  </si>
  <si>
    <t>Código Catálogo</t>
  </si>
  <si>
    <t>Descripción del Bien</t>
  </si>
  <si>
    <t>Unidad de Medida</t>
  </si>
  <si>
    <t>Presentación</t>
  </si>
  <si>
    <t>Cantidad</t>
  </si>
  <si>
    <t>Monto Mínimo</t>
  </si>
  <si>
    <t>Monto Máximo</t>
  </si>
  <si>
    <t>Precio unitario (IVA incluído)</t>
  </si>
  <si>
    <t>Precio total</t>
  </si>
  <si>
    <t>72102305-001</t>
  </si>
  <si>
    <t>Provision de CARGA DE GAS REFRIGERANTE POR LITRO PARA A.A TIPO SPLIT DE 12.000 BTU MARCA: RBD- TOKYO, MIDEA, VCP, CHUNLAN, GOTZE, MATSUI, SPRINGER, MIDAS, CONSUL, CARRIER</t>
  </si>
  <si>
    <t>LitrosLitrosLitroLitrosLitros</t>
  </si>
  <si>
    <t>EVENTO</t>
  </si>
  <si>
    <t>80111613-9999</t>
  </si>
  <si>
    <t xml:space="preserve">Mano de Obra </t>
  </si>
  <si>
    <t>Litros Litros Litros Litros Litros</t>
  </si>
  <si>
    <t>1</t>
  </si>
  <si>
    <t>SOLDADURA POR PERDIDA DE GAS A.A TIPO SPLIT DE 12.000 BTU MARCA: RBD- TOKYO, MIDEA, VCP, CHUNLAN, GOTZE, MATSUI, SPRINGER, MIDAS, CONSUL, CARRIER.</t>
  </si>
  <si>
    <t>Unidad</t>
  </si>
  <si>
    <t>Mano de Obra</t>
  </si>
  <si>
    <t>REBOBINADO DEL MOTOR VENTILADOR A.A TIPO SPLIT DE 12.000 BTU MARCA: RBD- TOKYO, MIDEA, VCP, CHUNLAN, GOTZE, MATSUI, SPRINGER, MIDAS, CONSUL, CARRIER.</t>
  </si>
  <si>
    <t>CAMBIO DE MOTOR COMPRESOR A.A TIPO SPLIT DE 12.000 BTU MARCA: RBD- TOKYO, MIDEA, VCP, CHUNLAN, GOTZE, MATSUI, SPRINGER, MIDAS, CONSUL, CARRIER.</t>
  </si>
  <si>
    <t>CAMBIO DE MOTOR VENTILADOR A.A TIPO SPLIT DE 12.000 BTU MARCA: RBD- TOKYO, MIDEA, VCP, CHUNLAN, GOTZE, MATSUI, SPRINGER, MIDAS, CONSUL, CARRIER.</t>
  </si>
  <si>
    <t>CAMBIO DE IRRADIADOR DE CALOR A.A TIPO SPLIT DE 12.000 BTU MARCA: RBD- TOKYO, MIDEA, VCP, CHUNLAN, GOTZE, MATSUI, SPRINGER, MIDAS, CONSUL, CARRIER.</t>
  </si>
  <si>
    <t>SOLDADURA EN CASO DE PERDIDA A.A TIPO SPLIT DE 12.000 BTU MARCA: RBD- TOKYO, MIDEA, VCP, CHUNLAN, GOTZE, MATSUI, SPRINGER, MIDAS, CONSUL, CARRIER.</t>
  </si>
  <si>
    <t>CAMBIO DE RELAI TÉRMICO A.A TIPO SPLIT DE 12.000 BTU MARCA: RBD- TOKYO, MIDEA, VCP, CHUNLAN, GOTZE, MATSUI, SPRINGER, MIDAS, CONSUL, CARRIER.</t>
  </si>
  <si>
    <t>CAMBIO DE TERMOSTATO DE ALTA A.A TIPO SPLIT DE 12.000 BTU MARCA: RBD- TOKYO, MIDEA, VCP, CHUNLAN, GOTZE, MATSUI, SPRINGER, MIDAS, CONSUL, CARRIER.</t>
  </si>
  <si>
    <t>CAMBIO DE TERMOSTATO DE BAJA A.A TIPO SPLIT DE 12.000 BTU MARCA: RBD- TOKYO, MIDEA, VCP, CHUNLAN, GOTZE, MATSUI, SPRINGER, MIDAS, CONSUL, CARRIER.</t>
  </si>
  <si>
    <t>CAMBIO DE LLAVE SELECTORA A.A TIPO SPLIT DE 12.000 BTU MARCA: RBD- TOKYO, MIDEA, VCP, CHUNLAN, GOTZE, MATSUI, SPRINGER, MIDAS, CONSUL, CARRIER.</t>
  </si>
  <si>
    <t>CAMBIO DE CAPACITOR A.A TIPO SPLIT DE 12.000 BTU MARCA: RBD- TOKYO, MIDEA, VCP, CHUNLAN, GOTZE, MATSUI, SPRINGER, MIDAS, CONSUL, CARRIER.</t>
  </si>
  <si>
    <t>CAMBIO DE SOLENOIDE A.A TIPO SPLIT DE 12.000 BTU MARCA: RBD- TOKYO, MIDEA, VCP, CHUNLAN, GOTZE, MATSUI, SPRINGER, MIDAS, CONSUL, CARRIER.</t>
  </si>
  <si>
    <t>CAMBIO DE PERILLAS DE MANDO A.A TIPO SPLIT DE 12.000 BTU MARCA: RBD- TOKYO, MIDEA, VCP, CHUNLAN, GOTZE, MATSUI, SPRINGER, MIDAS, CONSUL, CARRIER.</t>
  </si>
  <si>
    <t>CAMBIO DE PLACA ELECTRÓNICA A.A TIPO SPLIT DE 12.000 BTU MARCA: RBD- TOKYO, MIDEA, VCP, CHUNLAN, GOTZE, MATSUI, SPRINGER, MIDAS, CONSUL, CARRIER.</t>
  </si>
  <si>
    <t>Tonelada</t>
  </si>
  <si>
    <t>CAMBIO DE VÁLVULA INVERSORA A.A TIPO SPLIT DE 12.000 BTU MARCA: RBD- TOKYO, MIDEA, VCP, CHUNLAN, GOTZE, MATSUI, SPRINGER, MIDAS, CONSUL, CARRIER.</t>
  </si>
  <si>
    <t>CAMBIO DE CARETAS A.A TIPO SPLIT DE 12.000 BTU MARCA: RBD- TOKYO, MIDEA, VCP, CHUNLAN, GOTZE, MATSUI, SPRINGER, MIDAS, CONSUL, CARRIER.</t>
  </si>
  <si>
    <t>Mantenimiento / Reparacion de aire acondicionado</t>
  </si>
  <si>
    <t>CAMBIO DE TURBINA Y PALETA A.A TIPO SPLIT DE 12.000 BTU MARCA: RBD- TOKYO, MIDEA, VCP, CHUNLAN, GOTZE, MATSUI, SPRINGER, MIDAS, CONSUL, CARRIER.</t>
  </si>
  <si>
    <t>LIMPIEZA Y MANTENIMIENTO GENERAL DEL EVAPORIZADOR Y CONDENSADOR</t>
  </si>
  <si>
    <t>Litros</t>
  </si>
  <si>
    <t>CARGA DE GAS REFRIGERANTE POR LITRO A.A TIPO SPLIT DE 18.000 BTU MARCA: RBD- TOKYO, MIDEA, VCP, CHUNLAN, GOTZE, MATSUI, SPRINGER, MIDAS, CONSUL, CARRIER, JAM, JAMES, CONFORT, STAR, HAUSTEC.</t>
  </si>
  <si>
    <t>SOLDADURA POR PERDIDA DE GAS A.A TIPO SPLIT DE 18.000 BTU MARCA: RBD- TOKYO, MIDEA, VCP, CHUNLAN, GOTZE, MATSUI, SPRINGER, MIDAS, CONSUL, CARRIER, JAM, JAMES, CONFORT, STAR, HAUSTEC.</t>
  </si>
  <si>
    <t>REBOBINADO DEL MOTOR VENTILADOR A.A TIPO SPLIT DE 18.000 BTU MARCA: RBD- TOKYO, MIDEA, VCP, CHUNLAN, GOTZE, MATSUI, SPRINGER, MIDAS, CONSUL, CARRIER, JAM, JAMES, CONFORT, STAR, HAUSTEC.</t>
  </si>
  <si>
    <t>CAMBIO DE MOTOR COMPRESOR A.A TIPO SPLIT DE 18.000 BTU MARCA: RBD- TOKYO, MIDEA, VCP, CHUNLAN, GOTZE, MATSUI, SPRINGER, MIDAS, CONSUL, CARRIER, JAM, JAMES, CONFORT, STAR, HAUSTEC.</t>
  </si>
  <si>
    <t>CAMBIO DE MOTOR VENTILADOR A.A TIPO SPLIT DE 18.000 BTU MARCA: RBD- TOKYO, MIDEA, VCP, CHUNLAN, GOTZE, MATSUI, SPRINGER, MIDAS, CONSUL, CARRIER, JAM, CAMBIO DE MOTOR VENTILADOR A.A TIPO SPLIT DE 18.000 BTU MARCA: RBD- TOKYO, MIDEA, VCP, CHUNLAN, GOTZE, MATSUI, SPRINGER, MIDAS, CONSUL, CARRIER, JAM,</t>
  </si>
  <si>
    <t>CAMBIO DE IRRADIADOR DE CALOR A.A TIPO SPLIT DE 18.000 BTU MARCA: RBD- TOKYO, MIDEA, VCP, CHUNLAN, GOTZE, MATSUI, SPRINGER, MIDAS, CONSUL, CARRIER, JAM,</t>
  </si>
  <si>
    <t>SOLDADURA EN CASO DE PERDIDA A.A TIPO SPLIT DE 18.000 BTU MARCA: RBD- TOKYO, MIDEA, VCP, CHUNLAN, GOTZE, MATSUI, SPRINGER, MIDAS, CONSUL, CARRIER, JAM, JAMES, CONFORT, STAR, HAUSTEC.</t>
  </si>
  <si>
    <t>CAMBIO DE RELAI TÉRMICO A.A TIPO SPLIT DE 18.000 BTU MARCA: RBD- TOKYO, MIDEA, VCP, CHUNLAN, GOTZE, MATSUI, SPRINGER, MIDAS, CONSUL, CARRIER, JAM,</t>
  </si>
  <si>
    <t>CAMBIO DE TERMOSTATO DE ALTA A.A TIPO SPLIT DE 18.000 BTU MARCA: RBD- TOKYO, MIDEA, VCP, CHUNLAN, GOTZE, MATSUI, SPRINGER, MIDAS, CONSUL, CARRIER, JAM, JAMES, CONFORT, STAR, HAUSTEC.</t>
  </si>
  <si>
    <t>CAMBIO DE TERMOSTATO DE BAJA A.A TIPO SPLIT DE 18.000 BTU MARCA: RBD- TOKYO, MIDEA, VCP, CHUNLAN, GOTZE, MATSUI, SPRINGER, MIDAS, CONSUL, CARRIER, JAM, JAMES, CONFORT, STAR, HAUSTEC.</t>
  </si>
  <si>
    <t>CAMBIO DE LLAVE SELECTORA A.A TIPO SPLIT DE 18.000 BTU MARCA: RBD- TOKYO, MIDEA, VCP, CHUNLAN, GOTZE, MATSUI, SPRINGER, MIDAS, CONSUL, CARRIER, JAM, JAMES, CONFORT, STAR, HAUSTEC.</t>
  </si>
  <si>
    <t>CAMBIO DE CAPACITOR A.A TIPO SPLIT DE 18.000 BTU MARCA: RBD- TOKYO, MIDEA, VCP, CHUNLAN, GOTZE, MATSUI, SPRINGER, MIDAS, CONSUL, CARRIER, JAM, JAMES, CONFORT, STAR, HAUSTEC.</t>
  </si>
  <si>
    <t>CAMBIO DE SOLENOIDE A.A TIPO SPLIT DE 18.000 BTU MARCA: RBD- TOKYO, MIDEA, VCP, CHUNLAN, GOTZE, MATSUI, SPRINGER, MIDAS, CONSUL, CARRIER, JAM,</t>
  </si>
  <si>
    <t>CAMBIO DE PERILLAS DE MANDO A.A TIPO SPLIT DE 18.000 BTU MARCA: RBD- TOKYO, MIDEA, VCP, CHUNLAN, GOTZE, MATSUI, SPRINGER, MIDAS, CONSUL, CARRIER, JAM,</t>
  </si>
  <si>
    <t>CAMBIO DE PLACA ELECTRÓNICA A.A TIPO SPLIT DE 18.000 BTU MARCA: RBD- TOKYO, MIDEA, VCP, CHUNLAN, GOTZE, MATSUI, SPRINGER, MIDAS, CONSUL, CARRIER, JAM, JAMES, CONFORT, STAR, HAUSTEC.</t>
  </si>
  <si>
    <t>CAMBIO DE VÁLVULA INVERSORA A.A TIPO SPLIT DE 18.000 BTU MARCA: RBD- TOKYO, MIDEA, VCP, CHUNLAN, GOTZE, MATSUI, SPRINGER, MIDAS, CONSUL, CARRIER, JAM, JAMES, CONFORT, STAR, HAUSTEC.</t>
  </si>
  <si>
    <t>CAMBIO DE CARETAS A.A TIPO SPLIT DE 18.000 BTU MARCA: RBD- TOKYO, MIDEA, VCP, CHUNLAN, GOTZE, MATSUI, SPRINGER, MIDAS, CONSUL, CARRIER, JAM,</t>
  </si>
  <si>
    <t>CAMBIO DE PROTECTOR TÉRMICO A.A TIPO SPLIT DE 18.000 BTU MARCA: RBD- TOKYO, MIDEA, VCP, CHUNLAN, GOTZE, MATSUI, SPRINGER, MIDAS, CONSUL, CARRIER, JAM, JAMES, CONFORT, STAR, HAUSTEC.</t>
  </si>
  <si>
    <t>CAMBIO DE TURBINA Y PALETA A.A TIPO SPLIT DE 18.000 BTU MARCA: RBD- TOKYO, MIDEA, VCP, CHUNLAN, GOTZE, MATSUI, SPRINGER, MIDAS, CONSUL, CARRIER, JAM, JAMES, CONFORT, STAR, HAUSTEC.</t>
  </si>
  <si>
    <t>LIMPIEZA Y MANTENIMIENTO GENERAL DEL EVAPORIZADOR Y CONDENSADOR A.A TIPO SPLIT DE 18.000 BTU MARCA: RBD- TOKYO, MIDEA, VCP, CHUNLAN, GOTZE, MATSUI, SPRINGER, MIDAS, CONSUL, CARRIER, JAM, JAMES, CONFORT, STAR, HAUSTEC.</t>
  </si>
  <si>
    <t>CARGA DE GAS REFRIGERANTE POR LITRO DE A.A TIPO SPLIT DE 24.000 BTU MARCA: RBD- TOKYO, MIDEA, VCP, CHULAN, GOTZE, MATSUI, SPRINGER, MIDAS, CONSUL, CARRIER, JAM, JAMES, CONFORT, STAR.</t>
  </si>
  <si>
    <t>SOLDADURA POR PERDIDA DE GAS  DE A.A TIPO SPLIT DE 24.000 BTU MARCA: RBD- TOKYO, MIDEA, VCP, CHULAN, GOTZE, MATSUI, SPRINGER, MIDAS, CONSUL, CARRIER, JAM, JAMES, CONFORT, STAR.</t>
  </si>
  <si>
    <t>REBOBINADO DEL MOTOR VENTILADOR DE A.A TIPO SPLIT DE 24.000 BTU MARCA: RBD- TOKYO, MIDEA, VCP, CHULAN, GOTZE, MATSUI, SPRINGER, MIDAS, CONSUL, CARRIER, JAM, JAMES, CONFORT, STAR.</t>
  </si>
  <si>
    <t>CAMBIO DE MOTOR COMPRESOR DE A.A TIPO SPLIT DE 24.000 BTU MARCA: RBD- TOKYO, MIDEA, VCP, CHULAN, GOTZE, MATSUI, SPRINGER, MIDAS, CONSUL, CARRIER, JAM, JAMES, CONFORT, STAR.</t>
  </si>
  <si>
    <t>CAMBIO DE MOTOR VENTILADOR  DE A.A TIPO SPLIT DE 24.000 BTU MARCA: RBD- TOKYO, MIDEA, VCP, CHULAN, GOTZE, MATSUI, SPRINGER, MIDAS, CONSUL, CARRIER, JAM, JAMES, CONFORT, STAR.</t>
  </si>
  <si>
    <t>CAMBIO DE IRRADIADOR DE CALOR  DE A.A TIPO SPLIT DE 24.000 BTU MARCA: RBD- TOKYO, MIDEA, VCP, CHULAN, GOTZE, MATSUI, SPRINGER, MIDAS, CONSUL, CARRIER, JAM, JAMES, CONFORT, STAR.</t>
  </si>
  <si>
    <t>SOLDADURA EN CASO DE PERDIDA  DE A.A TIPO SPLIT DE 24.000 BTU MARCA: RBD- TOKYO, MIDEA, VCP, CHULAN, GOTZE, MATSUI, SPRINGER, MIDAS, CONSUL, CARRIER, JAM, JAMES, CONFORT, STAR.</t>
  </si>
  <si>
    <t>CAMBIO DE RELAI TÉRMICO  DE A.A TIPO SPLIT DE 24.000 BTU MARCA: RBD- TOKYO, MIDEA, VCP, CHULAN, GOTZE, MATSUI, SPRINGER, MIDAS, CONSUL, CARRIER, JAM, JAMES, CONFORT, STAR.</t>
  </si>
  <si>
    <t>CAMBIO DE TERMOSTATO DE ALTA  DE A.A TIPO SPLIT DE 24.000 BTU MARCA: RBD- TOKYO, MIDEA, VCP, CHULAN, GOTZE, MATSUI, SPRINGER, MIDAS, CONSUL, CARRIER, JAM, JAMES, CONFORT, STAR.</t>
  </si>
  <si>
    <t>CAMBIO DE TERMOSTATO DE BAJA  DE A.A TIPO SPLIT DE 24.000 BTU MARCA: RBD- TOKYO, MIDEA, VCP, CHULAN, GOTZE, MATSUI, SPRINGER, MIDAS, CONSUL, CARRIER, JAM, JAMES, CONFORT, STAR.</t>
  </si>
  <si>
    <t>CAMBIO DE LLAVE SELECTORA DE A.A TIPO SPLIT DE 24.000 BTU MARCA: RBD- TOKYO, MIDEA, VCP, CHULAN, GOTZE, MATSUI, SPRINGER, MIDAS, CONSUL, CARRIER, JAM, JAMES, CONFORT, STAR.</t>
  </si>
  <si>
    <t xml:space="preserve">Mano de Obra  </t>
  </si>
  <si>
    <t>CAMBIO DE CAPACITOR  DE A.A TIPO SPLIT DE 24.000 BTU MARCA: RBD- TOKYO, MIDEA, VCP, CHULAN, GOTZE, MATSUI, SPRINGER, MIDAS, CONSUL, CARRIER, JAM, JAMES, CONFORT, STAR.</t>
  </si>
  <si>
    <t>CAMBIO DE SOLENOIDE  DE A.A TIPO SPLIT DE 24.000 BTU MARCA: RBD- TOKYO, MIDEA, VCP, CHULAN, GOTZE, MATSUI, SPRINGER, MIDAS, CONSUL, CARRIER, JAM, JAMES, CONFORT, STAR.</t>
  </si>
  <si>
    <t>CAMBIO DE PERILLAS DE MANDO  DE A.A TIPO SPLIT DE 24.000 BTU MARCA: RBD- TOKYO, MIDEA, VCP, CHULAN, GOTZE, MATSUI, SPRINGER, MIDAS, CONSUL, CARRIER, JAM, JAMES, CONFORT, STAR.</t>
  </si>
  <si>
    <t>CAMBIO DE PLACA ELECTRÓNICA DE A.A TIPO SPLIT DE 24.000 BTU MARCA: RBD- TOKYO, MIDEA, VCP, CHULAN, GOTZE, MATSUI, SPRINGER, MIDAS, CONSUL, CARRIER, JAM, JAMES, CONFORT, STAR.</t>
  </si>
  <si>
    <t>CAMBIO DE VÁLVULA INVERSORA DE A.A TIPO SPLIT DE 24.000 BTU MARCA: RBD- TOKYO, MIDEA, VCP, CHULAN, GOTZE, MATSUI, SPRINGER, MIDAS, CONSUL, CARRIER, JAM, JAMES, CONFORT, STAR.</t>
  </si>
  <si>
    <t>CAMBIO DE CARETAS DE A.A TIPO SPLIT DE 24.000 BTU MARCA: RBD- TOKYO, MIDEA, VCP, CHULAN, GOTZE, MATSUI, SPRINGER, MIDAS, CONSUL, CARRIER, JAM, JAMES, CONFORT, STAR.</t>
  </si>
  <si>
    <t>CAMBIO DE PROTECTOR TÉRMICO DE A.A TIPO SPLIT DE 24.000 BTU MARCA: RBD- TOKYO, MIDEA, VCP, CHULAN, GOTZE, MATSUI, SPRINGER, MIDAS, CONSUL, CARRIER, JAM, JAMES, CONFORT, STAR.</t>
  </si>
  <si>
    <t>CAMBIO DE TURBINA Y PALETA DE A.A TIPO SPLIT DE 24.000 BTU MARCA: RBD- TOKYO, MIDEA, VCP, CHULAN, GOTZE, MATSUI, SPRINGER, MIDAS, CONSUL, CARRIER, JAM, JAMES, CONFORT, STAR.</t>
  </si>
  <si>
    <t>LIMPIEZA Y MANTENIMIENTO GENERAL DEL EVAPORIZADOR Y CONDENSADOR DE A.A TIPO SPLIT DE 24.000 BTU MARCA: RBD- TOKYO, MIDEA, VCP, CHULAN, GOTZE, MATSUI, SPRINGER, MIDAS, CONSUL, CARRIER, JAM, JAMES, CONFORT, STAR.</t>
  </si>
  <si>
    <t xml:space="preserve"> CARGA DE GAS REFRIGERANTE POR LITRO DE MANT. Y REPARACION DE A.A TIPO SPLIT DE 60.000 BTU MARCA: WINDMAN</t>
  </si>
  <si>
    <t>SOLDADURA POR PERDIDA DE GAS DE MANT. Y REPARACION DE A.A TIPO SPLIT DE 60.000 BTU MARCA: WINDMAN</t>
  </si>
  <si>
    <t>REBOBINADO DEL MOTOR VENTILADOR DE MANT. Y REPARACION DE A.A TIPO SPLIT DE 60.000 BTU MARCA: WINDMAN</t>
  </si>
  <si>
    <t>CAMBIO DE MOTOR COMPRESOR DE MANT. Y REPARACION DE A.A TIPO SPLIT DE 60.000 BTU MARCA: WINDMAN</t>
  </si>
  <si>
    <t xml:space="preserve"> CAMBIO DE MOTOR VENTILADOR DE MANT. Y REPARACION DE A.A TIPO SPLIT DE 60.000 BTU MARCA: WINDMAN</t>
  </si>
  <si>
    <t>CAMBIO DE IRRADIADOR DE CALOR DE MANT. Y REPARACION DE A.A TIPO SPLIT DE 60.000 BTU MARCA: WINDMAN</t>
  </si>
  <si>
    <t>SOLDADURA EN CASO DE PERDIDA DE MANT. Y REPARACION DE A.A TIPO SPLIT DE 60.000 BTU MARCA: WINDMAN</t>
  </si>
  <si>
    <t>CAMBIO DE RELAI TÉRMICO DE MANT. Y REPARACION DE A.A TIPO SPLIT DE 60.000 BTU MARCA: WINDMAN</t>
  </si>
  <si>
    <t xml:space="preserve"> CAMBIO DE TERMOSTATO DE ALTA DE MANT. Y REPARACION DE A.A TIPO SPLIT DE 60.000 BTU MARCA: WINDMAN</t>
  </si>
  <si>
    <t>CAMBIO DE TERMOSTATO DE BAJA DE MANT. Y REPARACION DE A.A TIPO SPLIT DE 60.000 BTU MARCA: WINDMAN</t>
  </si>
  <si>
    <t>CAMBIO DE LLAVE SELECTORA DE MANT. Y REPARACION DE A.A TIPO SPLIT DE 60.000 BTU MARCA: WINDMAN</t>
  </si>
  <si>
    <t>CAMBIO DE CAPACITOR DE MANT. Y REPARACION DE A.A TIPO SPLIT DE 60.000 BTU MARCA: WINDMAN</t>
  </si>
  <si>
    <t>CAMBIO DE SOLENOIDE DE MANT. Y REPARACION DE A.A TIPO SPLIT DE 60.000 BTU MARCA: WINDMAN</t>
  </si>
  <si>
    <t>CAMBIO DE PERILLAS DE MANDO DE MANT. Y REPARACION DE A.A TIPO SPLIT DE 60.000 BTU MARCA: WINDMAN</t>
  </si>
  <si>
    <t>CAMBIO DE PLACA ELECTRÓNICA DE MANT. Y REPARACION DE A.A TIPO SPLIT DE 60.000 BTU MARCA: WINDMAN</t>
  </si>
  <si>
    <t>CAMBIO DE VÁLVULA INVERSORA DE MANT. Y REPARACION DE A.A TIPO SPLIT DE 60.000 BTU MARCA: WINDMAN</t>
  </si>
  <si>
    <t>Unidad Medida Global</t>
  </si>
  <si>
    <t>CAMBIO DE CARETAS DE MANT. Y REPARACION DE A.A TIPO SPLIT DE 60.000 BTU MARCA: WINDMAN</t>
  </si>
  <si>
    <t xml:space="preserve"> CAMBIO DE PROTECTOR TÉRMICO DE MANT. Y REPARACION DE A.A TIPO SPLIT DE 60.000 BTU MARCA: WINDMAN</t>
  </si>
  <si>
    <t>CAMBIO DE TURBINA Y PALETA DE MANT. Y REPARACION DE A.A TIPO SPLIT DE 60.000 BTU MARCA: WINDMAN</t>
  </si>
  <si>
    <t>LIMPIEZA Y MANTENIMIENTO GENERAL DEL EVAPORIZADOR Y CONDENSADOR DE MANT. Y REPARACION DE A.A TIPO SPLIT DE 60.000 BTU MARCA: WINDMAN</t>
  </si>
  <si>
    <t>72102305-002</t>
  </si>
  <si>
    <t>MONTAJE/DESMONTAJE E INSTALACIÓN DE SISTEMA DE AA TIPO SPLIT  DE 12000 BTU</t>
  </si>
  <si>
    <t>MONTAJE/DESMONTAJE E INSTALACIÓN DE SISTEMA DE AA TIPO SPLIT  DE 18000 BTU</t>
  </si>
  <si>
    <t>MONTAJE/DESMONTAJE E INSTALACIÓN DE SISTEMA DE AA TIPO SPLIT  DE 24000 BTU</t>
  </si>
  <si>
    <t>MONTAJE/DESMONTAJE E INSTALACIÓN DE SISTEMA DE AA TIPO SPLIT  DE 60000 BTU</t>
  </si>
  <si>
    <t>MONTAJE/DESMONTAJE E INSTALACIÓN DE SISTEMA DE AA DE VENTANA  DE 18000 BTU</t>
  </si>
  <si>
    <t>MONTAJE/DESMONTAJE E INSTALACIÓN DE SISTEMA DE AA DE VENTANA  DE 24000 BTU</t>
  </si>
  <si>
    <t>73161518-9998</t>
  </si>
  <si>
    <t>ELECTROVENTILADOR  DE CONGELADOR/FREEZER CON 1 PUERTA, 2 PUERTAS, 3 PUERTAS MARCA: CONSUL, SPRINGER, BRIKET.</t>
  </si>
  <si>
    <t>CAMBIO COMPRESOR DE CONGELADOR/FREEZER CON 1 PUERTA, 2 PUERTAS, 3 PUERTAS MARCA: CONSUL, SPRINGER, BRIKET.</t>
  </si>
  <si>
    <t>CARGA DE GAS POR LITRO DE CONGELADOR/FREEZER CON 1 PUERTA, 2 PUERTAS, 3 PUERTAS MARCA: CONSUL, SPRINGER, BRIKET.</t>
  </si>
  <si>
    <t>CAMBIO DE FILTRO DE CONGELADOR/FREEZER CON 1 PUERTA, 2 PUERTAS, 3 PUERTAS MARCA: CONSUL, SPRINGER, BRIKET.</t>
  </si>
  <si>
    <t>CAMBIO EVAPORADOR DE CONGELADOR/FREEZER CON 1 PUERTA, 2 PUERTAS, 3 PUERTAS MARCA: CONSUL, SPRINGER, BRIKET.</t>
  </si>
  <si>
    <t>CAMBIO CONDENSADOR DE CONGELADOR/FREEZER CON 1 PUERTA, 2 PUERTAS, 3 PUERTAS MARCA: CONSUL, SPRINGER, BRIKET.</t>
  </si>
  <si>
    <t>REPARACIÓN DE CAÑERÍA DE CONGELADOR/FREEZER CON 1 PUERTA, 2 PUERTAS, 3 PUERTAS MARCA: CONSUL, SPRINGER, BRIKET.</t>
  </si>
  <si>
    <t>CAMBIO TERMOSTATO DE CONGELADOR/FREEZER CON 1 PUERTA, 2 PUERTAS, 3 PUERTAS MARCA: CONSUL, SPRINGER, BRIKET.</t>
  </si>
  <si>
    <t>CAMBIO CAPACITORES DE CONGELADOR/FREEZER CON 1 PUERTA, 2 PUERTAS, 3 PUERTAS MARCA: CONSUL, SPRINGER, BRIKET.</t>
  </si>
  <si>
    <t>CAMBIO DE PARTES ELÉCTRICAS DE CONGELADOR/FREEZER CON 1 PUERTA, 2 PUERTAS, 3 PUERTAS MARCA: CONSUL, SPRINGER, BRIKET.</t>
  </si>
  <si>
    <t>73161518-002</t>
  </si>
  <si>
    <t>CAMBIO DE ELECTROVENTILADOR   PARA HELADERA  CON 1 PUERTA, 2 PUERTAS, 3 PUERTAS MARCA: MABE, ELECTROLUX, JAMES, CONSUL, SAMSUNG, SPRINGER, BRIKET, TOKYO, MIDAS.</t>
  </si>
  <si>
    <t>CAMBIO COMPRESOR PARA HELADERA  CON 1 PUERTA, 2 PUERTAS, 3 PUERTAS MARCA: MABE, ELECTROLUX, JAMES, CONSUL, SAMSUNG, SPRINGER, BRIKET, TOKYO, MIDAS.</t>
  </si>
  <si>
    <t>CARGA DE GAS POR LITRO PARA HELADERA  CON 1 PUERTA, 2 PUERTAS, 3 PUERTAS MARCA: MABE, ELECTROLUX, JAMES, CONSUL, SAMSUNG, SPRINGER, BRIKET, TOKYO, MIDAS.</t>
  </si>
  <si>
    <t>CAMBIO DE FILTRO  PARA HELADERA  CON 1 PUERTA, 2 PUERTAS, 3 PUERTAS MARCA: MABE, ELECTROLUX, JAMES, CONSUL, SAMSUNG, SPRINGER, BRIKET, TOKYO, MIDAS.</t>
  </si>
  <si>
    <t>CAMBIO EVAPORADOR PARA HELADERA  CON 1 PUERTA, 2 PUERTAS, 3 PUERTAS MARCA: MABE, ELECTROLUX, JAMES, CONSUL, SAMSUNG, SPRINGER, BRIKET, TOKYO, MIDAS.</t>
  </si>
  <si>
    <t>CAMBIO CONDENSADOR PARA HELADERA  CON 1 PUERTA, 2 PUERTAS, 3 PUERTAS MARCA: MABE, ELECTROLUX, JAMES, CONSUL, SAMSUNG, SPRINGER, BRIKET, TOKYO, MIDAS.</t>
  </si>
  <si>
    <t>REPARACIÓN DE CAÑERÍA  PARA HELADERA  CON 1 PUERTA, 2 PUERTAS, 3 PUERTAS MARCA: MABE, ELECTROLUX, JAMES, CONSUL, SAMSUNG, SPRINGER, BRIKET, TOKYO, MIDAS.</t>
  </si>
  <si>
    <t>CAMBIO TERMOSTATO PARA HELADERA  CON 1 PUERTA, 2 PUERTAS, 3 PUERTAS MARCA: MABE, ELECTROLUX, JAMES, CONSUL, SAMSUNG, SPRINGER, BRIKET, TOKYO, MIDAS.</t>
  </si>
  <si>
    <t>CAMBIO CAPACITORES  PARA HELADERA  CON 1 PUERTA, 2 PUERTAS, 3 PUERTAS MARCA: MABE, ELECTROLUX, JAMES, CONSUL, SAMSUNG, SPRINGER, BRIKET, TOKYO, MIDAS.</t>
  </si>
  <si>
    <t>CAMBIO DE PARTES ELÉCTRICAS PARA HELADERA  CON 1 PUERTA, 2 PUERTAS, 3 PUERTAS MARCA: MABE, ELECTROLUX, JAMES, CONSUL, SAMSUNG, SPRINGER, BRIKET, TOKYO, MIDAS.</t>
  </si>
  <si>
    <t>Precio Total</t>
  </si>
  <si>
    <t>Firma</t>
  </si>
  <si>
    <t>Nombre:</t>
  </si>
  <si>
    <t>OLGA BELEN SILVA RUIZ.</t>
  </si>
  <si>
    <t>En calidad de:</t>
  </si>
  <si>
    <t>REPRESENTANTE LEGAL DE LA FIRMA IBL INGENIERIA SRL.</t>
  </si>
  <si>
    <t>id</t>
  </si>
  <si>
    <t>numero</t>
  </si>
  <si>
    <t>producto_codigo</t>
  </si>
  <si>
    <t>producto_nombre_catalogo</t>
  </si>
  <si>
    <t>producto_nombre_convocante</t>
  </si>
  <si>
    <t>precio_unitario_estimado</t>
  </si>
  <si>
    <t>cantidad_minima</t>
  </si>
  <si>
    <t>cantidad</t>
  </si>
  <si>
    <t>monto_minimo</t>
  </si>
  <si>
    <t>monto</t>
  </si>
  <si>
    <t>_moneda</t>
  </si>
  <si>
    <t>moneda</t>
  </si>
  <si>
    <t>_unidad_medida</t>
  </si>
  <si>
    <t>unidad_medida</t>
  </si>
  <si>
    <t>_presentacion</t>
  </si>
  <si>
    <t>presentacion</t>
  </si>
  <si>
    <t>zona</t>
  </si>
  <si>
    <t>_contrato_abierto</t>
  </si>
  <si>
    <t>contrato_abierto</t>
  </si>
  <si>
    <t>abastecimiento_simultaneo</t>
  </si>
  <si>
    <t>sub_items</t>
  </si>
  <si>
    <t>plantilla</t>
  </si>
  <si>
    <t>estado_impugnacion</t>
  </si>
  <si>
    <t>fUzQG7TRI5Vg3mM07iELNw%3D%3D</t>
  </si>
  <si>
    <t>CARGA DE GAS REFRIGERANTE POR LITRO PARA A.A TIPO SPLIT DE 12.000 BTU MARCA: RBD- TOKYO, MIDEA, VCP, CHUNLAN, GOTZE, MATSUI, SPRINGER, MIDAS, CONSUL, CARRIER</t>
  </si>
  <si>
    <t>_NO_APLICA_</t>
  </si>
  <si>
    <t>PYG</t>
  </si>
  <si>
    <t>Guaraníes</t>
  </si>
  <si>
    <t>LT</t>
  </si>
  <si>
    <t>EVE</t>
  </si>
  <si>
    <t>M</t>
  </si>
  <si>
    <t xml:space="preserve"> Por monto</t>
  </si>
  <si>
    <t>rdgqsMOepipg3mM07iELNw%3D%3D</t>
  </si>
  <si>
    <t>Mano de Obra - Mantenimiento y/o reparación</t>
  </si>
  <si>
    <t>UNI</t>
  </si>
  <si>
    <t>rxuoAOxjM7Rg3mM07iELNw%3D%3D</t>
  </si>
  <si>
    <t>29C6f4efPx5g3mM07iELNw%3D%3D</t>
  </si>
  <si>
    <t>jPf0scbHhRZg3mM07iELNw%3D%3D</t>
  </si>
  <si>
    <t>anI6J6JnrOFg3mM07iELNw%3D%3D</t>
  </si>
  <si>
    <t>tRoJe91KQuNg3mM07iELNw%3D%3D</t>
  </si>
  <si>
    <t>um3fFU0D0iZg3mM07iELNw%3D%3D</t>
  </si>
  <si>
    <t>p7tFJTiBrpBg3mM07iELNw%3D%3D</t>
  </si>
  <si>
    <t>7HI4OdwYs2Rg3mM07iELNw%3D%3D</t>
  </si>
  <si>
    <t>oPXCLfLEM1dg3mM07iELNw%3D%3D</t>
  </si>
  <si>
    <t>Afdt5kyexc9g3mM07iELNw%3D%3D</t>
  </si>
  <si>
    <t>kvOKwLFHHKtg3mM07iELNw%3D%3D</t>
  </si>
  <si>
    <t>TTCnJ4%2F%2BDYNg3mM07iELNw%3D%3D</t>
  </si>
  <si>
    <t>TrAcTCTjrzRg3mM07iELNw%3D%3D</t>
  </si>
  <si>
    <t>Ko6HU%2BM0SpZg3mM07iELNw%3D%3D</t>
  </si>
  <si>
    <t>X%2BE1MkjZGLhg3mM07iELNw%3D%3D</t>
  </si>
  <si>
    <t>745XBqtr3HBg3mM07iELNw%3D%3D</t>
  </si>
  <si>
    <t>ZBKfJXAt9V1g3mM07iELNw%3D%3D</t>
  </si>
  <si>
    <t>VPfWCQJZ%2FVJg3mM07iELNw%3D%3D</t>
  </si>
  <si>
    <t>%2Bp7wcE9EMo1g3mM07iELNw%3D%3D</t>
  </si>
  <si>
    <t>bVI5ePoIE6lg3mM07iELNw%3D%3D</t>
  </si>
  <si>
    <t>0NyGAHjO2PRg3mM07iELNw%3D%3D</t>
  </si>
  <si>
    <t>%2B%2FA7ld2ACthg3mM07iELNw%3D%3D</t>
  </si>
  <si>
    <t>DqC7BGd3R7Rg3mM07iELNw%3D%3D</t>
  </si>
  <si>
    <t>W6ke%2BUa%2BsRBg3mM07iELNw%3D%3D</t>
  </si>
  <si>
    <t>QNDwEqnsflZg3mM07iELNw%3D%3D</t>
  </si>
  <si>
    <t>AqKcSoXyqbRg3mM07iELNw%3D%3D</t>
  </si>
  <si>
    <t>ENy2jREpkHNg3mM07iELNw%3D%3D</t>
  </si>
  <si>
    <t>yD6DKWHSPWZg3mM07iELNw%3D%3D</t>
  </si>
  <si>
    <t>TN</t>
  </si>
  <si>
    <t>v5aNbC%2B7i%2BVg3mM07iELNw%3D%3D</t>
  </si>
  <si>
    <t>OyqfQ1oohZFg3mM07iELNw%3D%3D</t>
  </si>
  <si>
    <t>mRJS2dFLr9dg3mM07iELNw%3D%3D</t>
  </si>
  <si>
    <t>F9wNaCWEN%2FJg3mM07iELNw%3D%3D</t>
  </si>
  <si>
    <t>WqGblyS6JhVg3mM07iELNw%3D%3D</t>
  </si>
  <si>
    <t>8TRaa5kNAWRg3mM07iELNw%3D%3D</t>
  </si>
  <si>
    <t>p2oueSyLQfZg3mM07iELNw%3D%3D</t>
  </si>
  <si>
    <t>FbAraL2jXnNg3mM07iELNw%3D%3D</t>
  </si>
  <si>
    <t>CI6vXZimLxZg3mM07iELNw%3D%3D</t>
  </si>
  <si>
    <t>Ugr9bgD7oZBg3mM07iELNw%3D%3D</t>
  </si>
  <si>
    <t>pjKjdRIwZUVg3mM07iELNw%3D%3D</t>
  </si>
  <si>
    <t>fvgO8%2BgSyk9g3mM07iELNw%3D%3D</t>
  </si>
  <si>
    <t>SAcghQN%2FPA5g3mM07iELNw%3D%3D</t>
  </si>
  <si>
    <t>Jb0bsitvwHFg3mM07iELNw%3D%3D</t>
  </si>
  <si>
    <t>tDvFK3xfl8Bg3mM07iELNw%3D%3D</t>
  </si>
  <si>
    <t>%2FWoDenvjfp9g3mM07iELNw%3D%3D</t>
  </si>
  <si>
    <t>S56s9L8CLTdg3mM07iELNw%3D%3D</t>
  </si>
  <si>
    <t>ojcRrsnUCIdg3mM07iELNw%3D%3D</t>
  </si>
  <si>
    <t>YOgpCwL9d5tg3mM07iELNw%3D%3D</t>
  </si>
  <si>
    <t>CAMBIO DE MOTOR VENTILADOR A.A TIPO SPLIT DE 18.000 BTU MARCA: RBD- TOKYO, MIDEA, VCP, CHUNLAN, GOTZE, MATSUI, SPRINGER, MIDAS, CONSUL, CARRIER, JAM,</t>
  </si>
  <si>
    <t>dZZbDDLjUAJg3mM07iELNw%3D%3D</t>
  </si>
  <si>
    <t>hUWSDF5qCldg3mM07iELNw%3D%3D</t>
  </si>
  <si>
    <t>tjQp2Jbf%2B75g3mM07iELNw%3D%3D</t>
  </si>
  <si>
    <t>Tl9Q9yGC1RJg3mM07iELNw%3D%3D</t>
  </si>
  <si>
    <t>ZWGHyMkPeO1g3mM07iELNw%3D%3D</t>
  </si>
  <si>
    <t>JGzaxOs%2FbR5g3mM07iELNw%3D%3D</t>
  </si>
  <si>
    <t>gewUadVsF1Bg3mM07iELNw%3D%3D</t>
  </si>
  <si>
    <t>dR%2BlmZRuob9g3mM07iELNw%3D%3D</t>
  </si>
  <si>
    <t>IdIBVCBjGmBg3mM07iELNw%3D%3D</t>
  </si>
  <si>
    <t>GH%2BGCt1cISJg3mM07iELNw%3D%3D</t>
  </si>
  <si>
    <t>mBFG9OWzLedg3mM07iELNw%3D%3D</t>
  </si>
  <si>
    <t>PA5hZt8V2XRg3mM07iELNw%3D%3D</t>
  </si>
  <si>
    <t>hgN0GhPT%2B0Zg3mM07iELNw%3D%3D</t>
  </si>
  <si>
    <t>i0x8eJzLC%2BZg3mM07iELNw%3D%3D</t>
  </si>
  <si>
    <t>PkGlMNrCuZhg3mM07iELNw%3D%3D</t>
  </si>
  <si>
    <t>tN2NY2nJWxtg3mM07iELNw%3D%3D</t>
  </si>
  <si>
    <t>I7bsiYfyz8Zg3mM07iELNw%3D%3D</t>
  </si>
  <si>
    <t>4HXcKl%2BnjPlg3mM07iELNw%3D%3D</t>
  </si>
  <si>
    <t>3X0Jup9wtNRg3mM07iELNw%3D%3D</t>
  </si>
  <si>
    <t>rspLH6XoxkVg3mM07iELNw%3D%3D</t>
  </si>
  <si>
    <t>%2FDwJFFq1xcVg3mM07iELNw%3D%3D</t>
  </si>
  <si>
    <t>aY4bHJ5WVwJg3mM07iELNw%3D%3D</t>
  </si>
  <si>
    <t>oogZpr2%2Fg0xg3mM07iELNw%3D%3D</t>
  </si>
  <si>
    <t>d4YZxTFYChBg3mM07iELNw%3D%3D</t>
  </si>
  <si>
    <t>KIDiMvdLx3Jg3mM07iELNw%3D%3D</t>
  </si>
  <si>
    <t>PtwZiWez08dg3mM07iELNw%3D%3D</t>
  </si>
  <si>
    <t>85gVticoY1lg3mM07iELNw%3D%3D</t>
  </si>
  <si>
    <t>MWtHZ3uc4Ulg3mM07iELNw%3D%3D</t>
  </si>
  <si>
    <t>JpyTE1Eshddg3mM07iELNw%3D%3D</t>
  </si>
  <si>
    <t>N4f%2BtAcw9flg3mM07iELNw%3D%3D</t>
  </si>
  <si>
    <t>YuHgaBdyq0Fg3mM07iELNw%3D%3D</t>
  </si>
  <si>
    <t>9VnfpCiYol5g3mM07iELNw%3D%3D</t>
  </si>
  <si>
    <t>%2FMfvhf%2FyaXZg3mM07iELNw%3D%3D</t>
  </si>
  <si>
    <t>YS3OoMdx%2BcBg3mM07iELNw%3D%3D</t>
  </si>
  <si>
    <t>Y%2F6L7HkEbiFg3mM07iELNw%3D%3D</t>
  </si>
  <si>
    <t>79CmyxNns6Fg3mM07iELNw%3D%3D</t>
  </si>
  <si>
    <t>YkcNtpghP4xg3mM07iELNw%3D%3D</t>
  </si>
  <si>
    <t>EY4qLOw5TFtg3mM07iELNw%3D%3D</t>
  </si>
  <si>
    <t>stQqWkW660lg3mM07iELNw%3D%3D</t>
  </si>
  <si>
    <t>0GpuCcBK5Ppg3mM07iELNw%3D%3D</t>
  </si>
  <si>
    <t>esc0q2HON%2BJg3mM07iELNw%3D%3D</t>
  </si>
  <si>
    <t>gA85UTSwJehg3mM07iELNw%3D%3D</t>
  </si>
  <si>
    <t>ASopsDXm%2B45g3mM07iELNw%3D%3D</t>
  </si>
  <si>
    <t>uDjMdIMUPv1g3mM07iELNw%3D%3D</t>
  </si>
  <si>
    <t>qA1sv1GaTBlg3mM07iELNw%3D%3D</t>
  </si>
  <si>
    <t>io32RPRYP9tg3mM07iELNw%3D%3D</t>
  </si>
  <si>
    <t>OBsMF9S2FoZg3mM07iELNw%3D%3D</t>
  </si>
  <si>
    <t>vUXv01tqOY9g3mM07iELNw%3D%3D</t>
  </si>
  <si>
    <t>OC4KYP%2FHlfBg3mM07iELNw%3D%3D</t>
  </si>
  <si>
    <t>SrDkMau356Fg3mM07iELNw%3D%3D</t>
  </si>
  <si>
    <t>OmREs5i%2FsOpg3mM07iELNw%3D%3D</t>
  </si>
  <si>
    <t>6Tq9%2BBiSxPhg3mM07iELNw%3D%3D</t>
  </si>
  <si>
    <t>mkzMRSxT%2F2Bg3mM07iELNw%3D%3D</t>
  </si>
  <si>
    <t>z9%2B7Dx55z%2B5g3mM07iELNw%3D%3D</t>
  </si>
  <si>
    <t>9ObwZR%2Fu%2FeJg3mM07iELNw%3D%3D</t>
  </si>
  <si>
    <t>iIjAAuQWuaBg3mM07iELNw%3D%3D</t>
  </si>
  <si>
    <t>KN0FroyObCBg3mM07iELNw%3D%3D</t>
  </si>
  <si>
    <t>2nZ5qlH0HsVg3mM07iELNw%3D%3D</t>
  </si>
  <si>
    <t>OJQmteHtK61g3mM07iELNw%3D%3D</t>
  </si>
  <si>
    <t>Fvetqp6zYO5g3mM07iELNw%3D%3D</t>
  </si>
  <si>
    <t>n52KCARlLFJg3mM07iELNw%3D%3D</t>
  </si>
  <si>
    <t>PbJjWaG084xg3mM07iELNw%3D%3D</t>
  </si>
  <si>
    <t>plLjJ2aCkPFg3mM07iELNw%3D%3D</t>
  </si>
  <si>
    <t>VHZbzRTLRytg3mM07iELNw%3D%3D</t>
  </si>
  <si>
    <t>VzVrim2j0%2F9g3mM07iELNw%3D%3D</t>
  </si>
  <si>
    <t>o86oQGlf9lFg3mM07iELNw%3D%3D</t>
  </si>
  <si>
    <t>RARVVwCkSYJg3mM07iELNw%3D%3D</t>
  </si>
  <si>
    <t>XQXEa9oWY7xg3mM07iELNw%3D%3D</t>
  </si>
  <si>
    <t>t03hq9Io%2FUlg3mM07iELNw%3D%3D</t>
  </si>
  <si>
    <t>91O9%2B3yKQ7Ng3mM07iELNw%3D%3D</t>
  </si>
  <si>
    <t>YL3buRRXf%2BFg3mM07iELNw%3D%3D</t>
  </si>
  <si>
    <t>kV0o6zTD6LBg3mM07iELNw%3D%3D</t>
  </si>
  <si>
    <t>5nKZqcXBkrtg3mM07iELNw%3D%3D</t>
  </si>
  <si>
    <t>lQmRgPT1YqJg3mM07iELNw%3D%3D</t>
  </si>
  <si>
    <t>7m%2FB%2ByFnaTFg3mM07iELNw%3D%3D</t>
  </si>
  <si>
    <t>izzH8R%2BYLq9g3mM07iELNw%3D%3D</t>
  </si>
  <si>
    <t>mzDIumQ2BU9g3mM07iELNw%3D%3D</t>
  </si>
  <si>
    <t>fJn%2BW47SxHJg3mM07iELNw%3D%3D</t>
  </si>
  <si>
    <t>1A8xn0%2BV9llg3mM07iELNw%3D%3D</t>
  </si>
  <si>
    <t>WhKPGOSDPmlg3mM07iELNw%3D%3D</t>
  </si>
  <si>
    <t>fMEFtA7d2whg3mM07iELNw%3D%3D</t>
  </si>
  <si>
    <t>HFYpXmnhT1xg3mM07iELNw%3D%3D</t>
  </si>
  <si>
    <t>o%2FIKZQvzQMVg3mM07iELNw%3D%3D</t>
  </si>
  <si>
    <t>ExpZ6ZJSuR9g3mM07iELNw%3D%3D</t>
  </si>
  <si>
    <t>OH91OxHA67Jg3mM07iELNw%3D%3D</t>
  </si>
  <si>
    <t>KwSd5zKefShg3mM07iELNw%3D%3D</t>
  </si>
  <si>
    <t>KLqIBHF%2Br0Rg3mM07iELNw%3D%3D</t>
  </si>
  <si>
    <t>wqGayKBz5Plg3mM07iELNw%3D%3D</t>
  </si>
  <si>
    <t>L9aBKW8fwu9g3mM07iELNw%3D%3D</t>
  </si>
  <si>
    <t>reMGMxkcwopg3mM07iELNw%3D%3D</t>
  </si>
  <si>
    <t>xMEHo722yPRg3mM07iELNw%3D%3D</t>
  </si>
  <si>
    <t>LUyyPVEvo75g3mM07iELNw%3D%3D</t>
  </si>
  <si>
    <t>d8EPVQFztjRg3mM07iELNw%3D%3D</t>
  </si>
  <si>
    <t>SE7rKZAQMyRg3mM07iELNw%3D%3D</t>
  </si>
  <si>
    <t>94xhElF15ndg3mM07iELNw%3D%3D</t>
  </si>
  <si>
    <t>%2FD5CDxS2cX9g3mM07iELNw%3D%3D</t>
  </si>
  <si>
    <t>Rakaq0KQj0Vg3mM07iELNw%3D%3D</t>
  </si>
  <si>
    <t>emX9y0595yxg3mM07iELNw%3D%3D</t>
  </si>
  <si>
    <t>uZxvIR6hHQdg3mM07iELNw%3D%3D</t>
  </si>
  <si>
    <t>mMdWd2ATFydg3mM07iELNw%3D%3D</t>
  </si>
  <si>
    <t>sgM%2FEoPU9vpg3mM07iELNw%3D%3D</t>
  </si>
  <si>
    <t>HVFGnjsNXQtg3mM07iELNw%3D%3D</t>
  </si>
  <si>
    <t>bg1wu%2F66TSpg3mM07iELNw%3D%3D</t>
  </si>
  <si>
    <t>GL</t>
  </si>
  <si>
    <t>xtFeZatkzzBg3mM07iELNw%3D%3D</t>
  </si>
  <si>
    <t>4HGGufmlHcZg3mM07iELNw%3D%3D</t>
  </si>
  <si>
    <t>SaCSXlyAcBdg3mM07iELNw%3D%3D</t>
  </si>
  <si>
    <t>r92sUqhMerhg3mM07iELNw%3D%3D</t>
  </si>
  <si>
    <t>cL5GUi%2BUB2Rg3mM07iELNw%3D%3D</t>
  </si>
  <si>
    <t>lVq0OQ%2F58B5g3mM07iELNw%3D%3D</t>
  </si>
  <si>
    <t>SF%2Fa%2B%2F5a%2BdZg3mM07iELNw%3D%3D</t>
  </si>
  <si>
    <t>Bz4OdMPwJztg3mM07iELNw%3D%3D</t>
  </si>
  <si>
    <t>2eCDUh5cxAdg3mM07iELNw%3D%3D</t>
  </si>
  <si>
    <t>Montaje/Desmontaje de sistema de aire acondicionado</t>
  </si>
  <si>
    <t>%2FwKBMkXKFrFg3mM07iELNw%3D%3D</t>
  </si>
  <si>
    <t>4GaX%2BDNl2UJg3mM07iELNw%3D%3D</t>
  </si>
  <si>
    <t>Tkve6MBrXqdg3mM07iELNw%3D%3D</t>
  </si>
  <si>
    <t>9WRYeKfuvpRg3mM07iELNw%3D%3D</t>
  </si>
  <si>
    <t>smTQv%2B6vo0Fg3mM07iELNw%3D%3D</t>
  </si>
  <si>
    <t>vcFeJMtmhDdg3mM07iELNw%3D%3D</t>
  </si>
  <si>
    <t>O1HCUKDqA%2Fxg3mM07iELNw%3D%3D</t>
  </si>
  <si>
    <t>4Gy%2BbBbQ3fpg3mM07iELNw%3D%3D</t>
  </si>
  <si>
    <t>XQ%2B%2F5X4kCaBg3mM07iELNw%3D%3D</t>
  </si>
  <si>
    <t>eeBn6aqESsJg3mM07iELNw%3D%3D</t>
  </si>
  <si>
    <t>kB8BtsQ6A7pg3mM07iELNw%3D%3D</t>
  </si>
  <si>
    <t>8i2kk4z09YFg3mM07iELNw%3D%3D</t>
  </si>
  <si>
    <t>Mantenimiento / Reparacion de Congelador</t>
  </si>
  <si>
    <t>72gp7yXsYEBg3mM07iELNw%3D%3D</t>
  </si>
  <si>
    <t>AYYNbzIlLy9g3mM07iELNw%3D%3D</t>
  </si>
  <si>
    <t>RhWX6wMFMwBg3mM07iELNw%3D%3D</t>
  </si>
  <si>
    <t>iOrZDfnIzHNg3mM07iELNw%3D%3D</t>
  </si>
  <si>
    <t>0e6Am%2FpfUkJg3mM07iELNw%3D%3D</t>
  </si>
  <si>
    <t>BMo4ImXpacRg3mM07iELNw%3D%3D</t>
  </si>
  <si>
    <t>llZihctZRLxg3mM07iELNw%3D%3D</t>
  </si>
  <si>
    <t>muTTzmklLzZg3mM07iELNw%3D%3D</t>
  </si>
  <si>
    <t>HP9GCpKm6Slg3mM07iELNw%3D%3D</t>
  </si>
  <si>
    <t>uKD6Djup0AJg3mM07iELNw%3D%3D</t>
  </si>
  <si>
    <t>ufjs9n2HbrNg3mM07iELNw%3D%3D</t>
  </si>
  <si>
    <t>x2Hga52dlixg3mM07iELNw%3D%3D</t>
  </si>
  <si>
    <t>Blk18sqlcWFg3mM07iELNw%3D%3D</t>
  </si>
  <si>
    <t>olUYTWC97BZg3mM07iELNw%3D%3D</t>
  </si>
  <si>
    <t>Yc9Ye0OlJ8tg3mM07iELNw%3D%3D</t>
  </si>
  <si>
    <t>KNK0Tvf%2FlJ1g3mM07iELNw%3D%3D</t>
  </si>
  <si>
    <t>NbRz9mPtQutg3mM07iELNw%3D%3D</t>
  </si>
  <si>
    <t>9Nw9SobdrXtg3mM07iELNw%3D%3D</t>
  </si>
  <si>
    <t>raMinFDwJ6xg3mM07iELNw%3D%3D</t>
  </si>
  <si>
    <t>FTLqE13ibjBg3mM07iELNw%3D%3D</t>
  </si>
  <si>
    <t>Reparacion y mantenimiento de heladera</t>
  </si>
  <si>
    <t>awdQ7m6R4HVg3mM07iELNw%3D%3D</t>
  </si>
  <si>
    <t>Koxv2bADpIRg3mM07iELNw%3D%3D</t>
  </si>
  <si>
    <t>AVNNtd93onJg3mM07iELNw%3D%3D</t>
  </si>
  <si>
    <t>EUrZ7FjWnHFg3mM07iELNw%3D%3D</t>
  </si>
  <si>
    <t>WzxWv8sgl15g3mM07iELNw%3D%3D</t>
  </si>
  <si>
    <t>hqbfhHXhgvhg3mM07iELNw%3D%3D</t>
  </si>
  <si>
    <t>xDqreKvxVERg3mM07iELNw%3D%3D</t>
  </si>
  <si>
    <t>MbLXasT2O%2Fpg3mM07iELNw%3D%3D</t>
  </si>
  <si>
    <t>47Blli2O8%2Blg3mM07iELNw%3D%3D</t>
  </si>
  <si>
    <t>w%2FY6nI9Ltztg3mM07iELNw%3D%3D</t>
  </si>
  <si>
    <t>OBfCUDhz69Jg3mM07iELNw%3D%3D</t>
  </si>
  <si>
    <t>GuvsH8y6xZhg3mM07iELNw%3D%3D</t>
  </si>
  <si>
    <t>rtAYahGvr3dg3mM07iELNw%3D%3D</t>
  </si>
  <si>
    <t>VV%2BAtE0oG3pg3mM07iELNw%3D%3D</t>
  </si>
  <si>
    <t>VDgZnatce25g3mM07iELNw%3D%3D</t>
  </si>
  <si>
    <t>My8%2BzabENP9g3mM07iELNw%3D%3D</t>
  </si>
  <si>
    <t>vamYqU1gIsVg3mM07iELNw%3D%3D</t>
  </si>
  <si>
    <t>6IZ3KAWm%2BkJg3mM07iELNw%3D%3D</t>
  </si>
  <si>
    <t>CVPG5NaDebVg3mM07iELNw%3D%3D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</si>
</sst>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&quot; &quot;%"/>
  </numFmts>
  <fonts count="30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2"/>
      <color rgb="FF000000"/>
      <name val="Arial"/>
      <charset val="134"/>
      <scheme val="minor"/>
    </font>
    <font>
      <b/>
      <sz val="14"/>
      <color theme="1"/>
      <name val="Calibri"/>
      <charset val="134"/>
    </font>
    <font>
      <sz val="14"/>
      <color theme="1"/>
      <name val="Arial"/>
      <charset val="134"/>
    </font>
    <font>
      <sz val="12"/>
      <color theme="1"/>
      <name val="Arial"/>
      <charset val="134"/>
    </font>
    <font>
      <b/>
      <sz val="12"/>
      <color theme="1"/>
      <name val="Calibri"/>
      <charset val="134"/>
    </font>
    <font>
      <sz val="12"/>
      <name val="Arial"/>
      <charset val="134"/>
    </font>
    <font>
      <sz val="12"/>
      <color theme="1"/>
      <name val="Arial"/>
      <charset val="134"/>
      <scheme val="minor"/>
    </font>
    <font>
      <b/>
      <sz val="12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3C3C3"/>
        <bgColor rgb="FFC3C3C3"/>
      </patternFill>
    </fill>
    <fill>
      <patternFill patternType="solid">
        <fgColor rgb="FFE9E9E9"/>
        <bgColor rgb="FFE9E9E9"/>
      </patternFill>
    </fill>
    <fill>
      <patternFill patternType="solid">
        <fgColor rgb="FFFFFF00"/>
        <bgColor rgb="FFFFFF00"/>
      </patternFill>
    </fill>
    <fill>
      <patternFill patternType="solid">
        <fgColor rgb="FFFF7B59"/>
        <bgColor rgb="FFFF7B5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6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shrinkToFit="1"/>
    </xf>
    <xf numFmtId="0" fontId="7" fillId="0" borderId="0" xfId="0" applyFont="1" applyBorder="1" applyAlignment="1">
      <alignment vertical="center"/>
    </xf>
    <xf numFmtId="4" fontId="5" fillId="0" borderId="0" xfId="0" applyNumberFormat="1" applyFont="1" applyAlignment="1"/>
    <xf numFmtId="0" fontId="5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178" fontId="5" fillId="0" borderId="0" xfId="0" applyNumberFormat="1" applyFont="1" applyAlignment="1">
      <alignment wrapText="1"/>
    </xf>
    <xf numFmtId="4" fontId="5" fillId="4" borderId="0" xfId="0" applyNumberFormat="1" applyFont="1" applyFill="1" applyBorder="1" applyAlignment="1">
      <alignment wrapText="1"/>
    </xf>
    <xf numFmtId="3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9" fillId="0" borderId="2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3" fontId="9" fillId="0" borderId="1" xfId="0" applyNumberFormat="1" applyFont="1" applyBorder="1" applyAlignment="1">
      <alignment horizontal="center" vertical="center" wrapText="1"/>
    </xf>
    <xf numFmtId="3" fontId="5" fillId="0" borderId="0" xfId="0" applyNumberFormat="1" applyFont="1" applyAlignment="1"/>
    <xf numFmtId="178" fontId="5" fillId="5" borderId="0" xfId="0" applyNumberFormat="1" applyFont="1" applyFill="1" applyBorder="1" applyAlignment="1"/>
    <xf numFmtId="178" fontId="5" fillId="0" borderId="0" xfId="0" applyNumberFormat="1" applyFont="1" applyAlignment="1"/>
    <xf numFmtId="4" fontId="1" fillId="0" borderId="0" xfId="0" applyNumberFormat="1" applyFont="1" applyAlignment="1"/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1"/>
  <sheetViews>
    <sheetView tabSelected="1" zoomScale="65" zoomScaleNormal="65" workbookViewId="0">
      <selection activeCell="C11" sqref="C11"/>
    </sheetView>
  </sheetViews>
  <sheetFormatPr defaultColWidth="12.5714285714286" defaultRowHeight="15" customHeight="1"/>
  <cols>
    <col min="1" max="1" width="8.57142857142857" style="5" customWidth="1"/>
    <col min="2" max="2" width="18.7142857142857" style="6" customWidth="1"/>
    <col min="3" max="3" width="99.7142857142857" style="6" customWidth="1"/>
    <col min="4" max="4" width="12" style="5" customWidth="1"/>
    <col min="5" max="5" width="17.7142857142857" style="5" customWidth="1"/>
    <col min="6" max="6" width="10.5714285714286" style="5" customWidth="1"/>
    <col min="7" max="7" width="11.7142857142857" style="5" customWidth="1"/>
    <col min="8" max="8" width="11" style="5" customWidth="1"/>
    <col min="9" max="9" width="13.2857142857143" style="5" customWidth="1"/>
    <col min="10" max="10" width="15.1428571428571" style="5" customWidth="1"/>
    <col min="11" max="14" width="8.57142857142857" customWidth="1"/>
    <col min="15" max="15" width="11.2857142857143" customWidth="1"/>
    <col min="16" max="26" width="8.57142857142857" customWidth="1"/>
  </cols>
  <sheetData>
    <row r="1" s="3" customFormat="1" ht="43.5" customHeight="1" spans="1:1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12"/>
      <c r="L1" s="13"/>
    </row>
    <row r="2" s="3" customFormat="1" ht="43.5" customHeight="1" spans="1:1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14"/>
      <c r="L2" s="15"/>
    </row>
    <row r="3" s="3" customFormat="1" ht="72" spans="1:26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16"/>
      <c r="L3" s="17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="4" customFormat="1" ht="45" spans="1:17">
      <c r="A4" s="10">
        <v>1</v>
      </c>
      <c r="B4" s="11" t="s">
        <v>12</v>
      </c>
      <c r="C4" s="11" t="s">
        <v>13</v>
      </c>
      <c r="D4" s="10" t="s">
        <v>14</v>
      </c>
      <c r="E4" s="10" t="s">
        <v>15</v>
      </c>
      <c r="F4" s="10">
        <v>5</v>
      </c>
      <c r="G4" s="10"/>
      <c r="H4" s="10"/>
      <c r="I4" s="18">
        <f>ROUND(reporte!F2*L4/100,0)</f>
        <v>78305</v>
      </c>
      <c r="J4" s="18">
        <f t="shared" ref="J4:J215" si="0">F4*I4</f>
        <v>391525</v>
      </c>
      <c r="L4" s="19">
        <v>73</v>
      </c>
      <c r="O4" s="20">
        <f>reporte!F2</f>
        <v>107267</v>
      </c>
      <c r="P4" s="21">
        <f t="shared" ref="P4:P216" si="1">O4/$O$217</f>
        <v>0.00487264891634926</v>
      </c>
      <c r="Q4" s="20" t="str">
        <f t="shared" ref="Q4:Q216" si="2">IF(P4&gt;0.009,"ALTO"," ")</f>
        <v> </v>
      </c>
    </row>
    <row r="5" s="4" customFormat="1" ht="75" spans="1:17">
      <c r="A5" s="10">
        <v>2</v>
      </c>
      <c r="B5" s="11" t="s">
        <v>16</v>
      </c>
      <c r="C5" s="11" t="s">
        <v>17</v>
      </c>
      <c r="D5" s="10" t="s">
        <v>18</v>
      </c>
      <c r="E5" s="10" t="s">
        <v>15</v>
      </c>
      <c r="F5" s="10" t="s">
        <v>19</v>
      </c>
      <c r="G5" s="10"/>
      <c r="H5" s="10"/>
      <c r="I5" s="18">
        <f>ROUND(reporte!F3*L5/100,0)</f>
        <v>27874</v>
      </c>
      <c r="J5" s="18">
        <f t="shared" si="0"/>
        <v>27874</v>
      </c>
      <c r="L5" s="19">
        <v>74</v>
      </c>
      <c r="O5" s="20">
        <f>reporte!F3</f>
        <v>37667</v>
      </c>
      <c r="P5" s="21">
        <f t="shared" si="1"/>
        <v>0.00171103943181153</v>
      </c>
      <c r="Q5" s="20" t="str">
        <f t="shared" si="2"/>
        <v> </v>
      </c>
    </row>
    <row r="6" s="4" customFormat="1" ht="30" spans="1:17">
      <c r="A6" s="10">
        <v>3</v>
      </c>
      <c r="B6" s="11" t="s">
        <v>12</v>
      </c>
      <c r="C6" s="11" t="s">
        <v>20</v>
      </c>
      <c r="D6" s="10" t="s">
        <v>21</v>
      </c>
      <c r="E6" s="10" t="s">
        <v>15</v>
      </c>
      <c r="F6" s="10">
        <v>2</v>
      </c>
      <c r="G6" s="10"/>
      <c r="H6" s="10"/>
      <c r="I6" s="18">
        <f>ROUND(reporte!F4*L6/100,0)</f>
        <v>70488</v>
      </c>
      <c r="J6" s="18">
        <f t="shared" si="0"/>
        <v>140976</v>
      </c>
      <c r="L6" s="19">
        <v>72</v>
      </c>
      <c r="O6" s="20">
        <f>reporte!F4</f>
        <v>97900</v>
      </c>
      <c r="P6" s="21">
        <f t="shared" si="1"/>
        <v>0.00444714897322189</v>
      </c>
      <c r="Q6" s="20" t="str">
        <f t="shared" si="2"/>
        <v> </v>
      </c>
    </row>
    <row r="7" s="4" customFormat="1" spans="1:17">
      <c r="A7" s="10">
        <v>4</v>
      </c>
      <c r="B7" s="11" t="s">
        <v>16</v>
      </c>
      <c r="C7" s="11" t="s">
        <v>22</v>
      </c>
      <c r="D7" s="10" t="s">
        <v>21</v>
      </c>
      <c r="E7" s="10" t="s">
        <v>15</v>
      </c>
      <c r="F7" s="10" t="s">
        <v>19</v>
      </c>
      <c r="G7" s="10"/>
      <c r="H7" s="10"/>
      <c r="I7" s="18">
        <f>ROUND(reporte!F5*L7/100,0)</f>
        <v>35050</v>
      </c>
      <c r="J7" s="18">
        <f t="shared" si="0"/>
        <v>35050</v>
      </c>
      <c r="L7" s="19">
        <v>79</v>
      </c>
      <c r="O7" s="20">
        <f>reporte!F5</f>
        <v>44367</v>
      </c>
      <c r="P7" s="21">
        <f t="shared" si="1"/>
        <v>0.00201538977012192</v>
      </c>
      <c r="Q7" s="20" t="str">
        <f t="shared" si="2"/>
        <v> </v>
      </c>
    </row>
    <row r="8" s="4" customFormat="1" ht="30" spans="1:17">
      <c r="A8" s="10">
        <v>5</v>
      </c>
      <c r="B8" s="11" t="s">
        <v>12</v>
      </c>
      <c r="C8" s="11" t="s">
        <v>23</v>
      </c>
      <c r="D8" s="10" t="s">
        <v>21</v>
      </c>
      <c r="E8" s="10" t="s">
        <v>15</v>
      </c>
      <c r="F8" s="10">
        <v>7</v>
      </c>
      <c r="G8" s="10"/>
      <c r="H8" s="10"/>
      <c r="I8" s="18">
        <f>ROUND(reporte!F6*L8/100,0)</f>
        <v>87600</v>
      </c>
      <c r="J8" s="18">
        <f t="shared" si="0"/>
        <v>613200</v>
      </c>
      <c r="L8" s="19">
        <v>72</v>
      </c>
      <c r="O8" s="20">
        <f>reporte!F6</f>
        <v>121667</v>
      </c>
      <c r="P8" s="21">
        <f t="shared" si="1"/>
        <v>0.00552677501659845</v>
      </c>
      <c r="Q8" s="20" t="str">
        <f t="shared" si="2"/>
        <v> </v>
      </c>
    </row>
    <row r="9" s="4" customFormat="1" spans="1:17">
      <c r="A9" s="10">
        <v>6</v>
      </c>
      <c r="B9" s="11" t="s">
        <v>16</v>
      </c>
      <c r="C9" s="11" t="s">
        <v>17</v>
      </c>
      <c r="D9" s="10" t="s">
        <v>21</v>
      </c>
      <c r="E9" s="10" t="s">
        <v>15</v>
      </c>
      <c r="F9" s="10" t="s">
        <v>19</v>
      </c>
      <c r="G9" s="10"/>
      <c r="H9" s="10"/>
      <c r="I9" s="18">
        <f>ROUND(reporte!F7*L9/100,0)</f>
        <v>31440</v>
      </c>
      <c r="J9" s="18">
        <f t="shared" si="0"/>
        <v>31440</v>
      </c>
      <c r="L9" s="19">
        <v>72</v>
      </c>
      <c r="O9" s="20">
        <f>reporte!F7</f>
        <v>43667</v>
      </c>
      <c r="P9" s="21">
        <f t="shared" si="1"/>
        <v>0.00198359197358203</v>
      </c>
      <c r="Q9" s="20" t="str">
        <f t="shared" si="2"/>
        <v> </v>
      </c>
    </row>
    <row r="10" s="4" customFormat="1" ht="36.75" customHeight="1" spans="1:17">
      <c r="A10" s="10">
        <v>7</v>
      </c>
      <c r="B10" s="11" t="s">
        <v>12</v>
      </c>
      <c r="C10" s="11" t="s">
        <v>24</v>
      </c>
      <c r="D10" s="10" t="s">
        <v>21</v>
      </c>
      <c r="E10" s="10" t="s">
        <v>15</v>
      </c>
      <c r="F10" s="10" t="s">
        <v>19</v>
      </c>
      <c r="G10" s="10"/>
      <c r="H10" s="10"/>
      <c r="I10" s="18">
        <f>ROUND(reporte!F8*L10/100,0)</f>
        <v>105000</v>
      </c>
      <c r="J10" s="18">
        <f t="shared" si="0"/>
        <v>105000</v>
      </c>
      <c r="L10" s="22">
        <v>20</v>
      </c>
      <c r="O10" s="20">
        <f>reporte!F8</f>
        <v>525000</v>
      </c>
      <c r="P10" s="21">
        <f t="shared" si="1"/>
        <v>0.0238483474049182</v>
      </c>
      <c r="Q10" s="20" t="str">
        <f t="shared" si="2"/>
        <v>ALTO</v>
      </c>
    </row>
    <row r="11" s="4" customFormat="1" spans="1:17">
      <c r="A11" s="10">
        <v>8</v>
      </c>
      <c r="B11" s="11" t="s">
        <v>16</v>
      </c>
      <c r="C11" s="11" t="s">
        <v>17</v>
      </c>
      <c r="D11" s="10" t="s">
        <v>21</v>
      </c>
      <c r="E11" s="10" t="s">
        <v>15</v>
      </c>
      <c r="F11" s="10" t="s">
        <v>19</v>
      </c>
      <c r="G11" s="10"/>
      <c r="H11" s="10"/>
      <c r="I11" s="18">
        <f>ROUND(reporte!F9*L11/100,0)</f>
        <v>80733</v>
      </c>
      <c r="J11" s="18">
        <f t="shared" si="0"/>
        <v>80733</v>
      </c>
      <c r="L11" s="19">
        <v>70</v>
      </c>
      <c r="O11" s="20">
        <f>reporte!F9</f>
        <v>115333</v>
      </c>
      <c r="P11" s="21">
        <f t="shared" si="1"/>
        <v>0.00523905038333606</v>
      </c>
      <c r="Q11" s="20" t="str">
        <f t="shared" si="2"/>
        <v> </v>
      </c>
    </row>
    <row r="12" s="4" customFormat="1" ht="30" spans="1:17">
      <c r="A12" s="10">
        <v>9</v>
      </c>
      <c r="B12" s="11" t="s">
        <v>12</v>
      </c>
      <c r="C12" s="11" t="s">
        <v>25</v>
      </c>
      <c r="D12" s="10" t="s">
        <v>21</v>
      </c>
      <c r="E12" s="10" t="s">
        <v>15</v>
      </c>
      <c r="F12" s="10" t="s">
        <v>19</v>
      </c>
      <c r="G12" s="10"/>
      <c r="H12" s="10"/>
      <c r="I12" s="18">
        <f>ROUND(reporte!F10*L12/100,0)</f>
        <v>104208</v>
      </c>
      <c r="J12" s="18">
        <f t="shared" si="0"/>
        <v>104208</v>
      </c>
      <c r="L12" s="19">
        <v>78</v>
      </c>
      <c r="O12" s="20">
        <f>reporte!F10</f>
        <v>133600</v>
      </c>
      <c r="P12" s="21">
        <f t="shared" si="1"/>
        <v>0.00606883659675633</v>
      </c>
      <c r="Q12" s="20" t="str">
        <f t="shared" si="2"/>
        <v> </v>
      </c>
    </row>
    <row r="13" s="4" customFormat="1" spans="1:17">
      <c r="A13" s="10">
        <v>10</v>
      </c>
      <c r="B13" s="11" t="s">
        <v>16</v>
      </c>
      <c r="C13" s="11" t="s">
        <v>22</v>
      </c>
      <c r="D13" s="10" t="s">
        <v>21</v>
      </c>
      <c r="E13" s="10" t="s">
        <v>15</v>
      </c>
      <c r="F13" s="10" t="s">
        <v>19</v>
      </c>
      <c r="G13" s="10"/>
      <c r="H13" s="10"/>
      <c r="I13" s="18">
        <f>ROUND(reporte!F11*L13/100,0)</f>
        <v>52876</v>
      </c>
      <c r="J13" s="18">
        <f t="shared" si="0"/>
        <v>52876</v>
      </c>
      <c r="L13" s="19">
        <v>73</v>
      </c>
      <c r="O13" s="20">
        <f>reporte!F11</f>
        <v>72433</v>
      </c>
      <c r="P13" s="21">
        <f t="shared" si="1"/>
        <v>0.00329029970967703</v>
      </c>
      <c r="Q13" s="20" t="str">
        <f t="shared" si="2"/>
        <v> </v>
      </c>
    </row>
    <row r="14" s="4" customFormat="1" ht="30" spans="1:17">
      <c r="A14" s="10">
        <v>11</v>
      </c>
      <c r="B14" s="11" t="s">
        <v>12</v>
      </c>
      <c r="C14" s="11" t="s">
        <v>26</v>
      </c>
      <c r="D14" s="10" t="s">
        <v>21</v>
      </c>
      <c r="E14" s="10" t="s">
        <v>15</v>
      </c>
      <c r="F14" s="10" t="s">
        <v>19</v>
      </c>
      <c r="G14" s="10"/>
      <c r="H14" s="10"/>
      <c r="I14" s="18">
        <f>ROUND(reporte!F12*L14/100,0)</f>
        <v>50375</v>
      </c>
      <c r="J14" s="18">
        <f t="shared" si="0"/>
        <v>50375</v>
      </c>
      <c r="L14" s="19">
        <v>75</v>
      </c>
      <c r="O14" s="20">
        <f>reporte!F12</f>
        <v>67167</v>
      </c>
      <c r="P14" s="21">
        <f t="shared" si="1"/>
        <v>0.0030510894288498</v>
      </c>
      <c r="Q14" s="20" t="str">
        <f t="shared" si="2"/>
        <v> </v>
      </c>
    </row>
    <row r="15" s="4" customFormat="1" spans="1:17">
      <c r="A15" s="10">
        <v>12</v>
      </c>
      <c r="B15" s="11" t="s">
        <v>16</v>
      </c>
      <c r="C15" s="11" t="s">
        <v>17</v>
      </c>
      <c r="D15" s="10" t="s">
        <v>21</v>
      </c>
      <c r="E15" s="10" t="s">
        <v>15</v>
      </c>
      <c r="F15" s="10" t="s">
        <v>19</v>
      </c>
      <c r="G15" s="10"/>
      <c r="H15" s="10"/>
      <c r="I15" s="18">
        <f>ROUND(reporte!F13*L15/100,0)</f>
        <v>25700</v>
      </c>
      <c r="J15" s="18">
        <f t="shared" si="0"/>
        <v>25700</v>
      </c>
      <c r="L15" s="19">
        <v>75</v>
      </c>
      <c r="O15" s="20">
        <f>reporte!F13</f>
        <v>34267</v>
      </c>
      <c r="P15" s="21">
        <f t="shared" si="1"/>
        <v>0.00155659299147492</v>
      </c>
      <c r="Q15" s="20" t="str">
        <f t="shared" si="2"/>
        <v> </v>
      </c>
    </row>
    <row r="16" s="4" customFormat="1" ht="30" spans="1:17">
      <c r="A16" s="10">
        <v>13</v>
      </c>
      <c r="B16" s="11" t="s">
        <v>12</v>
      </c>
      <c r="C16" s="11" t="s">
        <v>27</v>
      </c>
      <c r="D16" s="10" t="s">
        <v>21</v>
      </c>
      <c r="E16" s="10" t="s">
        <v>15</v>
      </c>
      <c r="F16" s="10" t="s">
        <v>19</v>
      </c>
      <c r="G16" s="10"/>
      <c r="H16" s="10"/>
      <c r="I16" s="18">
        <f>ROUND(reporte!F14*L16/100,0)</f>
        <v>57274</v>
      </c>
      <c r="J16" s="18">
        <f t="shared" si="0"/>
        <v>57274</v>
      </c>
      <c r="L16" s="19">
        <v>71</v>
      </c>
      <c r="O16" s="20">
        <f>reporte!F14</f>
        <v>80667</v>
      </c>
      <c r="P16" s="21">
        <f t="shared" si="1"/>
        <v>0.00366433264783341</v>
      </c>
      <c r="Q16" s="20" t="str">
        <f t="shared" si="2"/>
        <v> </v>
      </c>
    </row>
    <row r="17" s="4" customFormat="1" spans="1:17">
      <c r="A17" s="10">
        <v>14</v>
      </c>
      <c r="B17" s="11" t="s">
        <v>16</v>
      </c>
      <c r="C17" s="11" t="s">
        <v>17</v>
      </c>
      <c r="D17" s="10" t="s">
        <v>21</v>
      </c>
      <c r="E17" s="10" t="s">
        <v>15</v>
      </c>
      <c r="F17" s="10" t="s">
        <v>19</v>
      </c>
      <c r="G17" s="10"/>
      <c r="H17" s="10"/>
      <c r="I17" s="18">
        <f>ROUND(reporte!F15*L17/100,0)</f>
        <v>32328</v>
      </c>
      <c r="J17" s="18">
        <f t="shared" si="0"/>
        <v>32328</v>
      </c>
      <c r="L17" s="19">
        <v>71</v>
      </c>
      <c r="O17" s="20">
        <f>reporte!F15</f>
        <v>45533</v>
      </c>
      <c r="P17" s="21">
        <f t="shared" si="1"/>
        <v>0.00206835581407265</v>
      </c>
      <c r="Q17" s="20" t="str">
        <f t="shared" si="2"/>
        <v> </v>
      </c>
    </row>
    <row r="18" s="4" customFormat="1" ht="30" spans="1:17">
      <c r="A18" s="10">
        <v>15</v>
      </c>
      <c r="B18" s="11" t="s">
        <v>12</v>
      </c>
      <c r="C18" s="11" t="s">
        <v>28</v>
      </c>
      <c r="D18" s="10" t="s">
        <v>21</v>
      </c>
      <c r="E18" s="10" t="s">
        <v>15</v>
      </c>
      <c r="F18" s="10" t="s">
        <v>19</v>
      </c>
      <c r="G18" s="10"/>
      <c r="H18" s="10"/>
      <c r="I18" s="18">
        <f>ROUND(reporte!F16*L18/100,0)</f>
        <v>54227</v>
      </c>
      <c r="J18" s="18">
        <f t="shared" si="0"/>
        <v>54227</v>
      </c>
      <c r="L18" s="19">
        <v>70</v>
      </c>
      <c r="O18" s="20">
        <f>reporte!F16</f>
        <v>77467</v>
      </c>
      <c r="P18" s="21">
        <f t="shared" si="1"/>
        <v>0.00351897129222248</v>
      </c>
      <c r="Q18" s="20" t="str">
        <f t="shared" si="2"/>
        <v> </v>
      </c>
    </row>
    <row r="19" s="4" customFormat="1" spans="1:17">
      <c r="A19" s="10">
        <v>16</v>
      </c>
      <c r="B19" s="11" t="s">
        <v>16</v>
      </c>
      <c r="C19" s="11" t="s">
        <v>17</v>
      </c>
      <c r="D19" s="10" t="s">
        <v>21</v>
      </c>
      <c r="E19" s="10" t="s">
        <v>15</v>
      </c>
      <c r="F19" s="10" t="s">
        <v>19</v>
      </c>
      <c r="G19" s="10"/>
      <c r="H19" s="10"/>
      <c r="I19" s="18">
        <f>ROUND(reporte!F17*L19/100,0)</f>
        <v>20448</v>
      </c>
      <c r="J19" s="18">
        <f t="shared" si="0"/>
        <v>20448</v>
      </c>
      <c r="L19" s="19">
        <v>71</v>
      </c>
      <c r="O19" s="20">
        <f>reporte!F17</f>
        <v>28800</v>
      </c>
      <c r="P19" s="21">
        <f t="shared" si="1"/>
        <v>0.00130825220049837</v>
      </c>
      <c r="Q19" s="20" t="str">
        <f t="shared" si="2"/>
        <v> </v>
      </c>
    </row>
    <row r="20" s="4" customFormat="1" ht="30" spans="1:17">
      <c r="A20" s="10">
        <v>17</v>
      </c>
      <c r="B20" s="11" t="s">
        <v>12</v>
      </c>
      <c r="C20" s="11" t="s">
        <v>29</v>
      </c>
      <c r="D20" s="10" t="s">
        <v>21</v>
      </c>
      <c r="E20" s="10" t="s">
        <v>15</v>
      </c>
      <c r="F20" s="10" t="s">
        <v>19</v>
      </c>
      <c r="G20" s="10"/>
      <c r="H20" s="10"/>
      <c r="I20" s="18">
        <f>ROUND(reporte!F18*L20/100,0)</f>
        <v>49890</v>
      </c>
      <c r="J20" s="18">
        <f t="shared" si="0"/>
        <v>49890</v>
      </c>
      <c r="L20" s="19">
        <v>71</v>
      </c>
      <c r="O20" s="20">
        <f>reporte!F18</f>
        <v>70267</v>
      </c>
      <c r="P20" s="21">
        <f t="shared" si="1"/>
        <v>0.00319190824209788</v>
      </c>
      <c r="Q20" s="20" t="str">
        <f t="shared" si="2"/>
        <v> </v>
      </c>
    </row>
    <row r="21" s="4" customFormat="1" spans="1:17">
      <c r="A21" s="10">
        <v>18</v>
      </c>
      <c r="B21" s="11" t="s">
        <v>16</v>
      </c>
      <c r="C21" s="11" t="s">
        <v>22</v>
      </c>
      <c r="D21" s="10" t="s">
        <v>21</v>
      </c>
      <c r="E21" s="10" t="s">
        <v>15</v>
      </c>
      <c r="F21" s="10" t="s">
        <v>19</v>
      </c>
      <c r="G21" s="10"/>
      <c r="H21" s="10"/>
      <c r="I21" s="18">
        <f>ROUND(reporte!F19*L21/100,0)</f>
        <v>22963</v>
      </c>
      <c r="J21" s="18">
        <f t="shared" si="0"/>
        <v>22963</v>
      </c>
      <c r="L21" s="19">
        <v>79</v>
      </c>
      <c r="O21" s="20">
        <f>reporte!F19</f>
        <v>29067</v>
      </c>
      <c r="P21" s="21">
        <f t="shared" si="1"/>
        <v>0.00132038078860716</v>
      </c>
      <c r="Q21" s="20" t="str">
        <f t="shared" si="2"/>
        <v> </v>
      </c>
    </row>
    <row r="22" s="4" customFormat="1" ht="30" spans="1:17">
      <c r="A22" s="10">
        <v>19</v>
      </c>
      <c r="B22" s="11" t="s">
        <v>12</v>
      </c>
      <c r="C22" s="11" t="s">
        <v>30</v>
      </c>
      <c r="D22" s="10" t="s">
        <v>21</v>
      </c>
      <c r="E22" s="10" t="s">
        <v>15</v>
      </c>
      <c r="F22" s="10" t="s">
        <v>19</v>
      </c>
      <c r="G22" s="10"/>
      <c r="H22" s="10"/>
      <c r="I22" s="18">
        <f>ROUND(reporte!F20*L22/100,0)</f>
        <v>55405</v>
      </c>
      <c r="J22" s="18">
        <f t="shared" si="0"/>
        <v>55405</v>
      </c>
      <c r="L22" s="19">
        <v>79</v>
      </c>
      <c r="O22" s="20">
        <f>reporte!F20</f>
        <v>70133</v>
      </c>
      <c r="P22" s="21">
        <f t="shared" si="1"/>
        <v>0.00318582123533168</v>
      </c>
      <c r="Q22" s="20" t="str">
        <f t="shared" si="2"/>
        <v> </v>
      </c>
    </row>
    <row r="23" s="4" customFormat="1" spans="1:17">
      <c r="A23" s="10">
        <v>20</v>
      </c>
      <c r="B23" s="11" t="s">
        <v>16</v>
      </c>
      <c r="C23" s="11" t="s">
        <v>22</v>
      </c>
      <c r="D23" s="10" t="s">
        <v>21</v>
      </c>
      <c r="E23" s="10" t="s">
        <v>15</v>
      </c>
      <c r="F23" s="10" t="s">
        <v>19</v>
      </c>
      <c r="G23" s="10"/>
      <c r="H23" s="10"/>
      <c r="I23" s="18">
        <f>ROUND(reporte!F21*L23/100,0)</f>
        <v>21121</v>
      </c>
      <c r="J23" s="18">
        <f t="shared" si="0"/>
        <v>21121</v>
      </c>
      <c r="L23" s="19">
        <v>73</v>
      </c>
      <c r="O23" s="20">
        <f>reporte!F21</f>
        <v>28933</v>
      </c>
      <c r="P23" s="21">
        <f t="shared" si="1"/>
        <v>0.00131429378184095</v>
      </c>
      <c r="Q23" s="20" t="str">
        <f t="shared" si="2"/>
        <v> </v>
      </c>
    </row>
    <row r="24" s="4" customFormat="1" ht="30" spans="1:17">
      <c r="A24" s="10">
        <v>21</v>
      </c>
      <c r="B24" s="11" t="s">
        <v>12</v>
      </c>
      <c r="C24" s="11" t="s">
        <v>31</v>
      </c>
      <c r="D24" s="10" t="s">
        <v>21</v>
      </c>
      <c r="E24" s="10" t="s">
        <v>15</v>
      </c>
      <c r="F24" s="10" t="s">
        <v>19</v>
      </c>
      <c r="G24" s="10"/>
      <c r="H24" s="10"/>
      <c r="I24" s="18">
        <f>ROUND(reporte!F22*L24/100,0)</f>
        <v>40305</v>
      </c>
      <c r="J24" s="18">
        <f t="shared" si="0"/>
        <v>40305</v>
      </c>
      <c r="L24" s="19">
        <v>71</v>
      </c>
      <c r="O24" s="20">
        <f>reporte!F22</f>
        <v>56767</v>
      </c>
      <c r="P24" s="21">
        <f t="shared" si="1"/>
        <v>0.00257866502311427</v>
      </c>
      <c r="Q24" s="20" t="str">
        <f t="shared" si="2"/>
        <v> </v>
      </c>
    </row>
    <row r="25" s="4" customFormat="1" spans="1:17">
      <c r="A25" s="10">
        <v>22</v>
      </c>
      <c r="B25" s="11" t="s">
        <v>16</v>
      </c>
      <c r="C25" s="11" t="s">
        <v>17</v>
      </c>
      <c r="D25" s="10" t="s">
        <v>21</v>
      </c>
      <c r="E25" s="10" t="s">
        <v>15</v>
      </c>
      <c r="F25" s="10" t="s">
        <v>19</v>
      </c>
      <c r="G25" s="10"/>
      <c r="H25" s="10"/>
      <c r="I25" s="18">
        <f>ROUND(reporte!F23*L25/100,0)</f>
        <v>16425</v>
      </c>
      <c r="J25" s="18">
        <f t="shared" si="0"/>
        <v>16425</v>
      </c>
      <c r="L25" s="19">
        <v>75</v>
      </c>
      <c r="O25" s="20">
        <f>reporte!F23</f>
        <v>21900</v>
      </c>
      <c r="P25" s="21">
        <f t="shared" si="1"/>
        <v>0.000994816777462303</v>
      </c>
      <c r="Q25" s="20" t="str">
        <f t="shared" si="2"/>
        <v> </v>
      </c>
    </row>
    <row r="26" s="4" customFormat="1" ht="30" spans="1:17">
      <c r="A26" s="10">
        <v>23</v>
      </c>
      <c r="B26" s="11" t="s">
        <v>12</v>
      </c>
      <c r="C26" s="11" t="s">
        <v>32</v>
      </c>
      <c r="D26" s="10" t="s">
        <v>21</v>
      </c>
      <c r="E26" s="10" t="s">
        <v>15</v>
      </c>
      <c r="F26" s="10" t="s">
        <v>19</v>
      </c>
      <c r="G26" s="10"/>
      <c r="H26" s="10"/>
      <c r="I26" s="18">
        <f>ROUND(reporte!F24*L26/100,0)</f>
        <v>58149</v>
      </c>
      <c r="J26" s="18">
        <f t="shared" si="0"/>
        <v>58149</v>
      </c>
      <c r="L26" s="19">
        <v>71</v>
      </c>
      <c r="O26" s="20">
        <f>reporte!F24</f>
        <v>81900</v>
      </c>
      <c r="P26" s="21">
        <f t="shared" si="1"/>
        <v>0.00372034219516724</v>
      </c>
      <c r="Q26" s="20" t="str">
        <f t="shared" si="2"/>
        <v> </v>
      </c>
    </row>
    <row r="27" s="4" customFormat="1" spans="1:17">
      <c r="A27" s="10">
        <v>24</v>
      </c>
      <c r="B27" s="11" t="s">
        <v>16</v>
      </c>
      <c r="C27" s="11" t="s">
        <v>17</v>
      </c>
      <c r="D27" s="10" t="s">
        <v>21</v>
      </c>
      <c r="E27" s="10" t="s">
        <v>15</v>
      </c>
      <c r="F27" s="10" t="s">
        <v>19</v>
      </c>
      <c r="G27" s="10"/>
      <c r="H27" s="10"/>
      <c r="I27" s="18">
        <f>ROUND(reporte!F25*L27/100,0)</f>
        <v>37786</v>
      </c>
      <c r="J27" s="18">
        <f t="shared" si="0"/>
        <v>37786</v>
      </c>
      <c r="L27" s="19">
        <v>80</v>
      </c>
      <c r="O27" s="20">
        <f>reporte!F25</f>
        <v>47233</v>
      </c>
      <c r="P27" s="21">
        <f t="shared" si="1"/>
        <v>0.00214557903424096</v>
      </c>
      <c r="Q27" s="20" t="str">
        <f t="shared" si="2"/>
        <v> </v>
      </c>
    </row>
    <row r="28" s="4" customFormat="1" ht="30" spans="1:17">
      <c r="A28" s="10">
        <v>25</v>
      </c>
      <c r="B28" s="11" t="s">
        <v>12</v>
      </c>
      <c r="C28" s="11" t="s">
        <v>33</v>
      </c>
      <c r="D28" s="10" t="s">
        <v>21</v>
      </c>
      <c r="E28" s="10" t="s">
        <v>15</v>
      </c>
      <c r="F28" s="10" t="s">
        <v>19</v>
      </c>
      <c r="G28" s="10"/>
      <c r="H28" s="10"/>
      <c r="I28" s="18">
        <f>ROUND(reporte!F26*L28/100,0)</f>
        <v>52308</v>
      </c>
      <c r="J28" s="18">
        <f t="shared" si="0"/>
        <v>52308</v>
      </c>
      <c r="L28" s="19">
        <v>77</v>
      </c>
      <c r="O28" s="20">
        <f>reporte!F26</f>
        <v>67933</v>
      </c>
      <c r="P28" s="21">
        <f t="shared" si="1"/>
        <v>0.00308588530334916</v>
      </c>
      <c r="Q28" s="20" t="str">
        <f t="shared" si="2"/>
        <v> </v>
      </c>
    </row>
    <row r="29" s="4" customFormat="1" spans="1:17">
      <c r="A29" s="10">
        <v>26</v>
      </c>
      <c r="B29" s="11" t="s">
        <v>16</v>
      </c>
      <c r="C29" s="11" t="s">
        <v>17</v>
      </c>
      <c r="D29" s="10" t="s">
        <v>21</v>
      </c>
      <c r="E29" s="10" t="s">
        <v>15</v>
      </c>
      <c r="F29" s="10" t="s">
        <v>19</v>
      </c>
      <c r="G29" s="10"/>
      <c r="H29" s="10"/>
      <c r="I29" s="18">
        <f>ROUND(reporte!F27*L29/100,0)</f>
        <v>21637</v>
      </c>
      <c r="J29" s="18">
        <f t="shared" si="0"/>
        <v>21637</v>
      </c>
      <c r="L29" s="19">
        <v>77</v>
      </c>
      <c r="O29" s="20">
        <f>reporte!F27</f>
        <v>28100</v>
      </c>
      <c r="P29" s="21">
        <f t="shared" si="1"/>
        <v>0.00127645440395848</v>
      </c>
      <c r="Q29" s="20" t="str">
        <f t="shared" si="2"/>
        <v> </v>
      </c>
    </row>
    <row r="30" s="4" customFormat="1" ht="30" spans="1:17">
      <c r="A30" s="10">
        <v>27</v>
      </c>
      <c r="B30" s="11" t="s">
        <v>12</v>
      </c>
      <c r="C30" s="11" t="s">
        <v>34</v>
      </c>
      <c r="D30" s="10" t="s">
        <v>21</v>
      </c>
      <c r="E30" s="10" t="s">
        <v>15</v>
      </c>
      <c r="F30" s="10" t="s">
        <v>19</v>
      </c>
      <c r="G30" s="10"/>
      <c r="H30" s="10"/>
      <c r="I30" s="18">
        <f>ROUND(reporte!F28*L30/100,0)</f>
        <v>40044</v>
      </c>
      <c r="J30" s="18">
        <f t="shared" si="0"/>
        <v>40044</v>
      </c>
      <c r="L30" s="19">
        <v>71</v>
      </c>
      <c r="O30" s="20">
        <f>reporte!F28</f>
        <v>56400</v>
      </c>
      <c r="P30" s="21">
        <f t="shared" si="1"/>
        <v>0.00256199389264264</v>
      </c>
      <c r="Q30" s="20" t="str">
        <f t="shared" si="2"/>
        <v> </v>
      </c>
    </row>
    <row r="31" s="4" customFormat="1" spans="1:17">
      <c r="A31" s="10">
        <v>28</v>
      </c>
      <c r="B31" s="11" t="s">
        <v>16</v>
      </c>
      <c r="C31" s="11" t="s">
        <v>17</v>
      </c>
      <c r="D31" s="10" t="s">
        <v>21</v>
      </c>
      <c r="E31" s="10" t="s">
        <v>15</v>
      </c>
      <c r="F31" s="10" t="s">
        <v>19</v>
      </c>
      <c r="G31" s="10"/>
      <c r="H31" s="10"/>
      <c r="I31" s="18">
        <f>ROUND(reporte!F29*L31/100,0)</f>
        <v>17626</v>
      </c>
      <c r="J31" s="18">
        <f t="shared" si="0"/>
        <v>17626</v>
      </c>
      <c r="L31" s="19">
        <v>80</v>
      </c>
      <c r="O31" s="20">
        <f>reporte!F29</f>
        <v>22033</v>
      </c>
      <c r="P31" s="21">
        <f t="shared" si="1"/>
        <v>0.00100085835880488</v>
      </c>
      <c r="Q31" s="20" t="str">
        <f t="shared" si="2"/>
        <v> </v>
      </c>
    </row>
    <row r="32" s="4" customFormat="1" ht="30" spans="1:17">
      <c r="A32" s="10">
        <v>29</v>
      </c>
      <c r="B32" s="11" t="s">
        <v>12</v>
      </c>
      <c r="C32" s="11" t="s">
        <v>35</v>
      </c>
      <c r="D32" s="10" t="s">
        <v>21</v>
      </c>
      <c r="E32" s="10" t="s">
        <v>15</v>
      </c>
      <c r="F32" s="10" t="s">
        <v>19</v>
      </c>
      <c r="G32" s="10"/>
      <c r="H32" s="10"/>
      <c r="I32" s="18">
        <f>ROUND(reporte!F30*L32/100,0)</f>
        <v>88257</v>
      </c>
      <c r="J32" s="18">
        <f t="shared" si="0"/>
        <v>88257</v>
      </c>
      <c r="L32" s="19">
        <v>73</v>
      </c>
      <c r="O32" s="20">
        <f>reporte!F30</f>
        <v>120900</v>
      </c>
      <c r="P32" s="21">
        <f t="shared" si="1"/>
        <v>0.00549193371667546</v>
      </c>
      <c r="Q32" s="20" t="str">
        <f t="shared" si="2"/>
        <v> </v>
      </c>
    </row>
    <row r="33" s="4" customFormat="1" spans="1:17">
      <c r="A33" s="10">
        <v>30</v>
      </c>
      <c r="B33" s="11" t="s">
        <v>16</v>
      </c>
      <c r="C33" s="11" t="s">
        <v>17</v>
      </c>
      <c r="D33" s="10" t="s">
        <v>36</v>
      </c>
      <c r="E33" s="10" t="s">
        <v>15</v>
      </c>
      <c r="F33" s="10" t="s">
        <v>19</v>
      </c>
      <c r="G33" s="10"/>
      <c r="H33" s="10"/>
      <c r="I33" s="18">
        <f>ROUND(reporte!F31*L33/100,0)</f>
        <v>55562</v>
      </c>
      <c r="J33" s="18">
        <f t="shared" si="0"/>
        <v>55562</v>
      </c>
      <c r="L33" s="19">
        <v>78</v>
      </c>
      <c r="O33" s="20">
        <f>reporte!F31</f>
        <v>71233</v>
      </c>
      <c r="P33" s="21">
        <f t="shared" si="1"/>
        <v>0.00323578920132293</v>
      </c>
      <c r="Q33" s="20" t="str">
        <f t="shared" si="2"/>
        <v> </v>
      </c>
    </row>
    <row r="34" s="4" customFormat="1" ht="30" spans="1:17">
      <c r="A34" s="10">
        <v>31</v>
      </c>
      <c r="B34" s="11" t="s">
        <v>12</v>
      </c>
      <c r="C34" s="11" t="s">
        <v>37</v>
      </c>
      <c r="D34" s="10" t="s">
        <v>21</v>
      </c>
      <c r="E34" s="10" t="s">
        <v>15</v>
      </c>
      <c r="F34" s="10" t="s">
        <v>19</v>
      </c>
      <c r="G34" s="10"/>
      <c r="H34" s="10"/>
      <c r="I34" s="18">
        <f>ROUND(reporte!F32*L34/100,0)</f>
        <v>54982</v>
      </c>
      <c r="J34" s="18">
        <f t="shared" si="0"/>
        <v>54982</v>
      </c>
      <c r="L34" s="19">
        <v>74</v>
      </c>
      <c r="O34" s="20">
        <f>reporte!F32</f>
        <v>74300</v>
      </c>
      <c r="P34" s="21">
        <f t="shared" si="1"/>
        <v>0.00337510897559128</v>
      </c>
      <c r="Q34" s="20" t="str">
        <f t="shared" si="2"/>
        <v> </v>
      </c>
    </row>
    <row r="35" s="4" customFormat="1" spans="1:17">
      <c r="A35" s="10">
        <v>32</v>
      </c>
      <c r="B35" s="11" t="s">
        <v>16</v>
      </c>
      <c r="C35" s="11" t="s">
        <v>17</v>
      </c>
      <c r="D35" s="10" t="s">
        <v>21</v>
      </c>
      <c r="E35" s="10" t="s">
        <v>15</v>
      </c>
      <c r="F35" s="10" t="s">
        <v>19</v>
      </c>
      <c r="G35" s="10"/>
      <c r="H35" s="10"/>
      <c r="I35" s="18">
        <f>ROUND(reporte!F33*L35/100,0)</f>
        <v>22610</v>
      </c>
      <c r="J35" s="18">
        <f t="shared" si="0"/>
        <v>22610</v>
      </c>
      <c r="L35" s="19">
        <v>70</v>
      </c>
      <c r="O35" s="20">
        <f>reporte!F33</f>
        <v>32300</v>
      </c>
      <c r="P35" s="21">
        <f t="shared" si="1"/>
        <v>0.00146724118319783</v>
      </c>
      <c r="Q35" s="20" t="str">
        <f t="shared" si="2"/>
        <v> </v>
      </c>
    </row>
    <row r="36" s="4" customFormat="1" ht="34.5" customHeight="1" spans="1:17">
      <c r="A36" s="10">
        <v>33</v>
      </c>
      <c r="B36" s="11" t="s">
        <v>12</v>
      </c>
      <c r="C36" s="11" t="s">
        <v>38</v>
      </c>
      <c r="D36" s="10" t="s">
        <v>21</v>
      </c>
      <c r="E36" s="10" t="s">
        <v>15</v>
      </c>
      <c r="F36" s="10" t="s">
        <v>19</v>
      </c>
      <c r="G36" s="10"/>
      <c r="H36" s="10"/>
      <c r="I36" s="18">
        <f>ROUND(reporte!F34*L36/100,0)</f>
        <v>92672</v>
      </c>
      <c r="J36" s="18">
        <f t="shared" si="0"/>
        <v>92672</v>
      </c>
      <c r="L36" s="19">
        <v>74</v>
      </c>
      <c r="O36" s="20">
        <f>reporte!F34</f>
        <v>125233</v>
      </c>
      <c r="P36" s="21">
        <f t="shared" si="1"/>
        <v>0.00568876207725738</v>
      </c>
      <c r="Q36" s="20" t="str">
        <f t="shared" si="2"/>
        <v> </v>
      </c>
    </row>
    <row r="37" s="4" customFormat="1" spans="1:17">
      <c r="A37" s="10">
        <v>34</v>
      </c>
      <c r="B37" s="11" t="s">
        <v>16</v>
      </c>
      <c r="C37" s="11" t="s">
        <v>17</v>
      </c>
      <c r="D37" s="10" t="s">
        <v>21</v>
      </c>
      <c r="E37" s="10" t="s">
        <v>15</v>
      </c>
      <c r="F37" s="10" t="s">
        <v>19</v>
      </c>
      <c r="G37" s="10"/>
      <c r="H37" s="10"/>
      <c r="I37" s="18">
        <f>ROUND(reporte!F35*L37/100,0)</f>
        <v>34996</v>
      </c>
      <c r="J37" s="18">
        <f t="shared" si="0"/>
        <v>34996</v>
      </c>
      <c r="L37" s="19">
        <v>78</v>
      </c>
      <c r="O37" s="20">
        <f>reporte!F35</f>
        <v>44867</v>
      </c>
      <c r="P37" s="21">
        <f t="shared" si="1"/>
        <v>0.00203810248193613</v>
      </c>
      <c r="Q37" s="20" t="str">
        <f t="shared" si="2"/>
        <v> </v>
      </c>
    </row>
    <row r="38" s="4" customFormat="1" spans="1:17">
      <c r="A38" s="10">
        <v>35</v>
      </c>
      <c r="B38" s="11" t="s">
        <v>12</v>
      </c>
      <c r="C38" s="11" t="s">
        <v>39</v>
      </c>
      <c r="D38" s="10" t="s">
        <v>21</v>
      </c>
      <c r="E38" s="10" t="s">
        <v>15</v>
      </c>
      <c r="F38" s="10" t="s">
        <v>19</v>
      </c>
      <c r="G38" s="10"/>
      <c r="H38" s="10"/>
      <c r="I38" s="18">
        <f>ROUND(reporte!F36*L38/100,0)</f>
        <v>72440</v>
      </c>
      <c r="J38" s="18">
        <f t="shared" si="0"/>
        <v>72440</v>
      </c>
      <c r="L38" s="19">
        <v>73</v>
      </c>
      <c r="O38" s="20">
        <f>reporte!F36</f>
        <v>99233</v>
      </c>
      <c r="P38" s="21">
        <f t="shared" si="1"/>
        <v>0.00450770106291857</v>
      </c>
      <c r="Q38" s="20" t="str">
        <f t="shared" si="2"/>
        <v> </v>
      </c>
    </row>
    <row r="39" s="4" customFormat="1" spans="1:17">
      <c r="A39" s="10">
        <v>36</v>
      </c>
      <c r="B39" s="11" t="s">
        <v>16</v>
      </c>
      <c r="C39" s="11" t="s">
        <v>17</v>
      </c>
      <c r="D39" s="10" t="s">
        <v>21</v>
      </c>
      <c r="E39" s="10" t="s">
        <v>15</v>
      </c>
      <c r="F39" s="10" t="s">
        <v>19</v>
      </c>
      <c r="G39" s="10"/>
      <c r="H39" s="10"/>
      <c r="I39" s="18">
        <f>ROUND(reporte!F37*L39/100,0)</f>
        <v>29674</v>
      </c>
      <c r="J39" s="18">
        <f t="shared" si="0"/>
        <v>29674</v>
      </c>
      <c r="L39" s="19">
        <v>74</v>
      </c>
      <c r="O39" s="20">
        <f>reporte!F37</f>
        <v>40100</v>
      </c>
      <c r="P39" s="21">
        <f t="shared" si="1"/>
        <v>0.00182155948749947</v>
      </c>
      <c r="Q39" s="20" t="str">
        <f t="shared" si="2"/>
        <v> </v>
      </c>
    </row>
    <row r="40" s="4" customFormat="1" ht="30" spans="1:17">
      <c r="A40" s="10">
        <v>37</v>
      </c>
      <c r="B40" s="11" t="s">
        <v>12</v>
      </c>
      <c r="C40" s="11" t="s">
        <v>40</v>
      </c>
      <c r="D40" s="10" t="s">
        <v>21</v>
      </c>
      <c r="E40" s="10" t="s">
        <v>15</v>
      </c>
      <c r="F40" s="10" t="s">
        <v>19</v>
      </c>
      <c r="G40" s="10"/>
      <c r="H40" s="10"/>
      <c r="I40" s="18">
        <f>ROUND(reporte!F38*L40/100,0)</f>
        <v>96126</v>
      </c>
      <c r="J40" s="18">
        <f t="shared" si="0"/>
        <v>96126</v>
      </c>
      <c r="L40" s="19">
        <v>74</v>
      </c>
      <c r="O40" s="20">
        <f>reporte!F38</f>
        <v>129900</v>
      </c>
      <c r="P40" s="21">
        <f t="shared" si="1"/>
        <v>0.0059007625293312</v>
      </c>
      <c r="Q40" s="20" t="str">
        <f t="shared" si="2"/>
        <v> </v>
      </c>
    </row>
    <row r="41" s="4" customFormat="1" spans="1:17">
      <c r="A41" s="10">
        <v>38</v>
      </c>
      <c r="B41" s="11" t="s">
        <v>16</v>
      </c>
      <c r="C41" s="11" t="s">
        <v>17</v>
      </c>
      <c r="D41" s="10" t="s">
        <v>21</v>
      </c>
      <c r="E41" s="10" t="s">
        <v>15</v>
      </c>
      <c r="F41" s="10" t="s">
        <v>19</v>
      </c>
      <c r="G41" s="10"/>
      <c r="H41" s="10"/>
      <c r="I41" s="18">
        <f>ROUND(reporte!F39*L41/100,0)</f>
        <v>36908</v>
      </c>
      <c r="J41" s="18">
        <f t="shared" si="0"/>
        <v>36908</v>
      </c>
      <c r="L41" s="19">
        <v>77</v>
      </c>
      <c r="O41" s="20">
        <f>reporte!F39</f>
        <v>47933</v>
      </c>
      <c r="P41" s="21">
        <f t="shared" si="1"/>
        <v>0.00217737683078085</v>
      </c>
      <c r="Q41" s="20" t="str">
        <f t="shared" si="2"/>
        <v> </v>
      </c>
    </row>
    <row r="42" s="4" customFormat="1" spans="1:17">
      <c r="A42" s="10">
        <v>39</v>
      </c>
      <c r="B42" s="11" t="s">
        <v>12</v>
      </c>
      <c r="C42" s="11" t="s">
        <v>41</v>
      </c>
      <c r="D42" s="10" t="s">
        <v>21</v>
      </c>
      <c r="E42" s="10" t="s">
        <v>15</v>
      </c>
      <c r="F42" s="10" t="s">
        <v>19</v>
      </c>
      <c r="G42" s="10"/>
      <c r="H42" s="10"/>
      <c r="I42" s="18">
        <f>ROUND(reporte!F40*L42/100,0)</f>
        <v>140154</v>
      </c>
      <c r="J42" s="18">
        <f t="shared" si="0"/>
        <v>140154</v>
      </c>
      <c r="L42" s="19">
        <v>71</v>
      </c>
      <c r="O42" s="20">
        <f>reporte!F40</f>
        <v>197400</v>
      </c>
      <c r="P42" s="21">
        <f t="shared" si="1"/>
        <v>0.00896697862424925</v>
      </c>
      <c r="Q42" s="20" t="str">
        <f t="shared" si="2"/>
        <v> </v>
      </c>
    </row>
    <row r="43" s="4" customFormat="1" spans="1:17">
      <c r="A43" s="10">
        <v>40</v>
      </c>
      <c r="B43" s="11" t="s">
        <v>16</v>
      </c>
      <c r="C43" s="11" t="s">
        <v>22</v>
      </c>
      <c r="D43" s="10" t="s">
        <v>42</v>
      </c>
      <c r="E43" s="10" t="s">
        <v>15</v>
      </c>
      <c r="F43" s="10" t="s">
        <v>19</v>
      </c>
      <c r="G43" s="10"/>
      <c r="H43" s="10"/>
      <c r="I43" s="18">
        <f>ROUND(reporte!F41*L43/100,0)</f>
        <v>47087</v>
      </c>
      <c r="J43" s="18">
        <f t="shared" si="0"/>
        <v>47087</v>
      </c>
      <c r="L43" s="19">
        <v>70</v>
      </c>
      <c r="O43" s="20">
        <f>reporte!F41</f>
        <v>67267</v>
      </c>
      <c r="P43" s="21">
        <f t="shared" si="1"/>
        <v>0.00305563197121264</v>
      </c>
      <c r="Q43" s="20" t="str">
        <f t="shared" si="2"/>
        <v> </v>
      </c>
    </row>
    <row r="44" s="4" customFormat="1" ht="45" spans="1:17">
      <c r="A44" s="10">
        <v>41</v>
      </c>
      <c r="B44" s="11" t="s">
        <v>12</v>
      </c>
      <c r="C44" s="11" t="s">
        <v>43</v>
      </c>
      <c r="D44" s="10" t="s">
        <v>21</v>
      </c>
      <c r="E44" s="10" t="s">
        <v>15</v>
      </c>
      <c r="F44" s="10" t="s">
        <v>19</v>
      </c>
      <c r="G44" s="10"/>
      <c r="H44" s="10"/>
      <c r="I44" s="18">
        <f>ROUND(reporte!F42*L44/100,0)</f>
        <v>84829</v>
      </c>
      <c r="J44" s="18">
        <f t="shared" si="0"/>
        <v>84829</v>
      </c>
      <c r="L44" s="19">
        <v>77</v>
      </c>
      <c r="O44" s="20">
        <f>reporte!F42</f>
        <v>110167</v>
      </c>
      <c r="P44" s="21">
        <f t="shared" si="1"/>
        <v>0.00500438264487167</v>
      </c>
      <c r="Q44" s="20" t="str">
        <f t="shared" si="2"/>
        <v> </v>
      </c>
    </row>
    <row r="45" s="4" customFormat="1" spans="1:17">
      <c r="A45" s="10">
        <v>42</v>
      </c>
      <c r="B45" s="11" t="s">
        <v>16</v>
      </c>
      <c r="C45" s="11" t="s">
        <v>17</v>
      </c>
      <c r="D45" s="10" t="s">
        <v>21</v>
      </c>
      <c r="E45" s="10" t="s">
        <v>15</v>
      </c>
      <c r="F45" s="10" t="s">
        <v>19</v>
      </c>
      <c r="G45" s="10"/>
      <c r="H45" s="10"/>
      <c r="I45" s="18">
        <f>ROUND(reporte!F43*L45/100,0)</f>
        <v>28250</v>
      </c>
      <c r="J45" s="18">
        <f t="shared" si="0"/>
        <v>28250</v>
      </c>
      <c r="L45" s="19">
        <v>75</v>
      </c>
      <c r="O45" s="20">
        <f>reporte!F43</f>
        <v>37667</v>
      </c>
      <c r="P45" s="21">
        <f t="shared" si="1"/>
        <v>0.00171103943181153</v>
      </c>
      <c r="Q45" s="20" t="str">
        <f t="shared" si="2"/>
        <v> </v>
      </c>
    </row>
    <row r="46" s="4" customFormat="1" ht="45" spans="1:17">
      <c r="A46" s="10">
        <v>43</v>
      </c>
      <c r="B46" s="11" t="s">
        <v>12</v>
      </c>
      <c r="C46" s="11" t="s">
        <v>44</v>
      </c>
      <c r="D46" s="10" t="s">
        <v>21</v>
      </c>
      <c r="E46" s="10" t="s">
        <v>15</v>
      </c>
      <c r="F46" s="10" t="s">
        <v>19</v>
      </c>
      <c r="G46" s="10"/>
      <c r="H46" s="10"/>
      <c r="I46" s="18">
        <f>ROUND(reporte!F44*L46/100,0)</f>
        <v>85894</v>
      </c>
      <c r="J46" s="18">
        <f t="shared" si="0"/>
        <v>85894</v>
      </c>
      <c r="L46" s="19">
        <v>80</v>
      </c>
      <c r="O46" s="20">
        <f>reporte!F44</f>
        <v>107367</v>
      </c>
      <c r="P46" s="21">
        <f t="shared" si="1"/>
        <v>0.00487719145871211</v>
      </c>
      <c r="Q46" s="20" t="str">
        <f t="shared" si="2"/>
        <v> </v>
      </c>
    </row>
    <row r="47" s="4" customFormat="1" spans="1:17">
      <c r="A47" s="10">
        <v>44</v>
      </c>
      <c r="B47" s="11" t="s">
        <v>16</v>
      </c>
      <c r="C47" s="11" t="s">
        <v>17</v>
      </c>
      <c r="D47" s="10" t="s">
        <v>21</v>
      </c>
      <c r="E47" s="10" t="s">
        <v>15</v>
      </c>
      <c r="F47" s="10" t="s">
        <v>19</v>
      </c>
      <c r="G47" s="10"/>
      <c r="H47" s="10"/>
      <c r="I47" s="18">
        <f>ROUND(reporte!F45*L47/100,0)</f>
        <v>33631</v>
      </c>
      <c r="J47" s="18">
        <f t="shared" si="0"/>
        <v>33631</v>
      </c>
      <c r="L47" s="19">
        <v>71</v>
      </c>
      <c r="O47" s="20">
        <f>reporte!F45</f>
        <v>47367</v>
      </c>
      <c r="P47" s="21">
        <f t="shared" si="1"/>
        <v>0.00215166604100717</v>
      </c>
      <c r="Q47" s="20" t="str">
        <f t="shared" si="2"/>
        <v> </v>
      </c>
    </row>
    <row r="48" s="4" customFormat="1" ht="45" spans="1:17">
      <c r="A48" s="10">
        <v>45</v>
      </c>
      <c r="B48" s="11" t="s">
        <v>12</v>
      </c>
      <c r="C48" s="11" t="s">
        <v>45</v>
      </c>
      <c r="D48" s="10" t="s">
        <v>21</v>
      </c>
      <c r="E48" s="10" t="s">
        <v>15</v>
      </c>
      <c r="F48" s="10" t="s">
        <v>19</v>
      </c>
      <c r="G48" s="10"/>
      <c r="H48" s="10"/>
      <c r="I48" s="18">
        <f>ROUND(reporte!F46*L48/100,0)</f>
        <v>96117</v>
      </c>
      <c r="J48" s="18">
        <f t="shared" si="0"/>
        <v>96117</v>
      </c>
      <c r="L48" s="19">
        <v>79</v>
      </c>
      <c r="O48" s="20">
        <f>reporte!F46</f>
        <v>121667</v>
      </c>
      <c r="P48" s="21">
        <f t="shared" si="1"/>
        <v>0.00552677501659845</v>
      </c>
      <c r="Q48" s="20" t="str">
        <f t="shared" si="2"/>
        <v> </v>
      </c>
    </row>
    <row r="49" s="4" customFormat="1" spans="1:17">
      <c r="A49" s="10">
        <v>46</v>
      </c>
      <c r="B49" s="11" t="s">
        <v>16</v>
      </c>
      <c r="C49" s="11" t="s">
        <v>17</v>
      </c>
      <c r="D49" s="10" t="s">
        <v>21</v>
      </c>
      <c r="E49" s="10" t="s">
        <v>15</v>
      </c>
      <c r="F49" s="10" t="s">
        <v>19</v>
      </c>
      <c r="G49" s="10"/>
      <c r="H49" s="10"/>
      <c r="I49" s="18">
        <f>ROUND(reporte!F47*L49/100,0)</f>
        <v>34497</v>
      </c>
      <c r="J49" s="18">
        <f t="shared" si="0"/>
        <v>34497</v>
      </c>
      <c r="L49" s="19">
        <v>79</v>
      </c>
      <c r="O49" s="20">
        <f>reporte!F47</f>
        <v>43667</v>
      </c>
      <c r="P49" s="21">
        <f t="shared" si="1"/>
        <v>0.00198359197358203</v>
      </c>
      <c r="Q49" s="20" t="str">
        <f t="shared" si="2"/>
        <v> </v>
      </c>
    </row>
    <row r="50" s="4" customFormat="1" ht="45" spans="1:17">
      <c r="A50" s="10">
        <v>47</v>
      </c>
      <c r="B50" s="11" t="s">
        <v>12</v>
      </c>
      <c r="C50" s="11" t="s">
        <v>46</v>
      </c>
      <c r="D50" s="10" t="s">
        <v>21</v>
      </c>
      <c r="E50" s="10" t="s">
        <v>15</v>
      </c>
      <c r="F50" s="10" t="s">
        <v>19</v>
      </c>
      <c r="G50" s="10"/>
      <c r="H50" s="10"/>
      <c r="I50" s="18">
        <f>ROUND(reporte!F48*L50/100,0)</f>
        <v>146467</v>
      </c>
      <c r="J50" s="18">
        <f t="shared" si="0"/>
        <v>146467</v>
      </c>
      <c r="L50" s="22">
        <v>20</v>
      </c>
      <c r="O50" s="20">
        <f>reporte!F48</f>
        <v>732333</v>
      </c>
      <c r="P50" s="21">
        <f t="shared" si="1"/>
        <v>0.0332665367620685</v>
      </c>
      <c r="Q50" s="20" t="str">
        <f t="shared" si="2"/>
        <v>ALTO</v>
      </c>
    </row>
    <row r="51" s="4" customFormat="1" spans="1:17">
      <c r="A51" s="10">
        <v>48</v>
      </c>
      <c r="B51" s="11" t="s">
        <v>16</v>
      </c>
      <c r="C51" s="11" t="s">
        <v>17</v>
      </c>
      <c r="D51" s="10" t="s">
        <v>21</v>
      </c>
      <c r="E51" s="10" t="s">
        <v>15</v>
      </c>
      <c r="F51" s="10" t="s">
        <v>19</v>
      </c>
      <c r="G51" s="10"/>
      <c r="H51" s="10"/>
      <c r="I51" s="18">
        <f>ROUND(reporte!F49*L51/100,0)</f>
        <v>88972</v>
      </c>
      <c r="J51" s="18">
        <f t="shared" si="0"/>
        <v>88972</v>
      </c>
      <c r="L51" s="19">
        <v>74</v>
      </c>
      <c r="O51" s="20">
        <f>reporte!F49</f>
        <v>120233</v>
      </c>
      <c r="P51" s="21">
        <f t="shared" si="1"/>
        <v>0.0054616349591153</v>
      </c>
      <c r="Q51" s="20" t="str">
        <f t="shared" si="2"/>
        <v> </v>
      </c>
    </row>
    <row r="52" s="4" customFormat="1" ht="68.25" customHeight="1" spans="1:17">
      <c r="A52" s="10">
        <v>49</v>
      </c>
      <c r="B52" s="11" t="s">
        <v>12</v>
      </c>
      <c r="C52" s="11" t="s">
        <v>47</v>
      </c>
      <c r="D52" s="10" t="s">
        <v>21</v>
      </c>
      <c r="E52" s="10" t="s">
        <v>15</v>
      </c>
      <c r="F52" s="10" t="s">
        <v>19</v>
      </c>
      <c r="G52" s="10"/>
      <c r="H52" s="10"/>
      <c r="I52" s="18">
        <f>ROUND(reporte!F50*L52/100,0)</f>
        <v>98136</v>
      </c>
      <c r="J52" s="18">
        <f t="shared" si="0"/>
        <v>98136</v>
      </c>
      <c r="L52" s="19">
        <v>73</v>
      </c>
      <c r="O52" s="20">
        <f>reporte!F50</f>
        <v>134433</v>
      </c>
      <c r="P52" s="21">
        <f t="shared" si="1"/>
        <v>0.0061066759746388</v>
      </c>
      <c r="Q52" s="20" t="str">
        <f t="shared" si="2"/>
        <v> </v>
      </c>
    </row>
    <row r="53" s="4" customFormat="1" spans="1:17">
      <c r="A53" s="10">
        <v>50</v>
      </c>
      <c r="B53" s="11" t="s">
        <v>16</v>
      </c>
      <c r="C53" s="11" t="s">
        <v>17</v>
      </c>
      <c r="D53" s="10" t="s">
        <v>21</v>
      </c>
      <c r="E53" s="10" t="s">
        <v>15</v>
      </c>
      <c r="F53" s="10" t="s">
        <v>19</v>
      </c>
      <c r="G53" s="10"/>
      <c r="H53" s="10"/>
      <c r="I53" s="18">
        <f>ROUND(reporte!F51*L53/100,0)</f>
        <v>55773</v>
      </c>
      <c r="J53" s="18">
        <f t="shared" si="0"/>
        <v>55773</v>
      </c>
      <c r="L53" s="19">
        <v>77</v>
      </c>
      <c r="O53" s="20">
        <f>reporte!F51</f>
        <v>72433</v>
      </c>
      <c r="P53" s="21">
        <f t="shared" si="1"/>
        <v>0.00329029970967703</v>
      </c>
      <c r="Q53" s="20" t="str">
        <f t="shared" si="2"/>
        <v> </v>
      </c>
    </row>
    <row r="54" s="4" customFormat="1" ht="30" spans="1:17">
      <c r="A54" s="10">
        <v>51</v>
      </c>
      <c r="B54" s="11" t="s">
        <v>12</v>
      </c>
      <c r="C54" s="11" t="s">
        <v>48</v>
      </c>
      <c r="D54" s="10" t="s">
        <v>21</v>
      </c>
      <c r="E54" s="10" t="s">
        <v>15</v>
      </c>
      <c r="F54" s="10" t="s">
        <v>19</v>
      </c>
      <c r="G54" s="10"/>
      <c r="H54" s="10"/>
      <c r="I54" s="18">
        <f>ROUND(reporte!F52*L54/100,0)</f>
        <v>52390</v>
      </c>
      <c r="J54" s="18">
        <f t="shared" si="0"/>
        <v>52390</v>
      </c>
      <c r="L54" s="19">
        <v>78</v>
      </c>
      <c r="O54" s="20">
        <f>reporte!F52</f>
        <v>67167</v>
      </c>
      <c r="P54" s="21">
        <f t="shared" si="1"/>
        <v>0.0030510894288498</v>
      </c>
      <c r="Q54" s="20" t="str">
        <f t="shared" si="2"/>
        <v> </v>
      </c>
    </row>
    <row r="55" s="4" customFormat="1" spans="1:17">
      <c r="A55" s="10">
        <v>52</v>
      </c>
      <c r="B55" s="11" t="s">
        <v>16</v>
      </c>
      <c r="C55" s="11" t="s">
        <v>17</v>
      </c>
      <c r="D55" s="10" t="s">
        <v>21</v>
      </c>
      <c r="E55" s="10" t="s">
        <v>15</v>
      </c>
      <c r="F55" s="10" t="s">
        <v>19</v>
      </c>
      <c r="G55" s="10"/>
      <c r="H55" s="10"/>
      <c r="I55" s="18">
        <f>ROUND(reporte!F53*L55/100,0)</f>
        <v>24672</v>
      </c>
      <c r="J55" s="18">
        <f t="shared" si="0"/>
        <v>24672</v>
      </c>
      <c r="L55" s="19">
        <v>72</v>
      </c>
      <c r="O55" s="20">
        <f>reporte!F53</f>
        <v>34267</v>
      </c>
      <c r="P55" s="21">
        <f t="shared" si="1"/>
        <v>0.00155659299147492</v>
      </c>
      <c r="Q55" s="20" t="str">
        <f t="shared" si="2"/>
        <v> </v>
      </c>
    </row>
    <row r="56" s="4" customFormat="1" ht="45" spans="1:17">
      <c r="A56" s="10">
        <v>53</v>
      </c>
      <c r="B56" s="11" t="s">
        <v>12</v>
      </c>
      <c r="C56" s="11" t="s">
        <v>49</v>
      </c>
      <c r="D56" s="10" t="s">
        <v>21</v>
      </c>
      <c r="E56" s="10" t="s">
        <v>15</v>
      </c>
      <c r="F56" s="10" t="s">
        <v>19</v>
      </c>
      <c r="G56" s="10"/>
      <c r="H56" s="10"/>
      <c r="I56" s="18">
        <f>ROUND(reporte!F54*L56/100,0)</f>
        <v>67150</v>
      </c>
      <c r="J56" s="18">
        <f t="shared" si="0"/>
        <v>67150</v>
      </c>
      <c r="L56" s="19">
        <v>79</v>
      </c>
      <c r="O56" s="20">
        <f>reporte!F54</f>
        <v>85000</v>
      </c>
      <c r="P56" s="21">
        <f t="shared" si="1"/>
        <v>0.00386116100841533</v>
      </c>
      <c r="Q56" s="20" t="str">
        <f t="shared" si="2"/>
        <v> </v>
      </c>
    </row>
    <row r="57" s="4" customFormat="1" spans="1:17">
      <c r="A57" s="10">
        <v>54</v>
      </c>
      <c r="B57" s="11" t="s">
        <v>16</v>
      </c>
      <c r="C57" s="11" t="s">
        <v>17</v>
      </c>
      <c r="D57" s="10" t="s">
        <v>21</v>
      </c>
      <c r="E57" s="10" t="s">
        <v>15</v>
      </c>
      <c r="F57" s="10" t="s">
        <v>19</v>
      </c>
      <c r="G57" s="10"/>
      <c r="H57" s="10"/>
      <c r="I57" s="18">
        <f>ROUND(reporte!F55*L57/100,0)</f>
        <v>35422</v>
      </c>
      <c r="J57" s="18">
        <f t="shared" si="0"/>
        <v>35422</v>
      </c>
      <c r="L57" s="19">
        <v>74</v>
      </c>
      <c r="O57" s="20">
        <f>reporte!F55</f>
        <v>47867</v>
      </c>
      <c r="P57" s="21">
        <f t="shared" si="1"/>
        <v>0.00217437875282137</v>
      </c>
      <c r="Q57" s="20" t="str">
        <f t="shared" si="2"/>
        <v> </v>
      </c>
    </row>
    <row r="58" s="4" customFormat="1" ht="42.75" customHeight="1" spans="1:17">
      <c r="A58" s="10">
        <v>55</v>
      </c>
      <c r="B58" s="11" t="s">
        <v>12</v>
      </c>
      <c r="C58" s="11" t="s">
        <v>50</v>
      </c>
      <c r="D58" s="10" t="s">
        <v>21</v>
      </c>
      <c r="E58" s="10" t="s">
        <v>15</v>
      </c>
      <c r="F58" s="10" t="s">
        <v>19</v>
      </c>
      <c r="G58" s="10"/>
      <c r="H58" s="10"/>
      <c r="I58" s="18">
        <f>ROUND(reporte!F56*L58/100,0)</f>
        <v>50600</v>
      </c>
      <c r="J58" s="18">
        <f t="shared" si="0"/>
        <v>50600</v>
      </c>
      <c r="L58" s="19">
        <v>75</v>
      </c>
      <c r="O58" s="20">
        <f>reporte!F56</f>
        <v>67467</v>
      </c>
      <c r="P58" s="21">
        <f t="shared" si="1"/>
        <v>0.00306471705593832</v>
      </c>
      <c r="Q58" s="20" t="str">
        <f t="shared" si="2"/>
        <v> </v>
      </c>
    </row>
    <row r="59" s="4" customFormat="1" spans="1:17">
      <c r="A59" s="10">
        <v>56</v>
      </c>
      <c r="B59" s="11" t="s">
        <v>16</v>
      </c>
      <c r="C59" s="11" t="s">
        <v>22</v>
      </c>
      <c r="D59" s="10" t="s">
        <v>21</v>
      </c>
      <c r="E59" s="10" t="s">
        <v>15</v>
      </c>
      <c r="F59" s="10" t="s">
        <v>19</v>
      </c>
      <c r="G59" s="10"/>
      <c r="H59" s="10"/>
      <c r="I59" s="18">
        <f>ROUND(reporte!F57*L59/100,0)</f>
        <v>21888</v>
      </c>
      <c r="J59" s="18">
        <f t="shared" si="0"/>
        <v>21888</v>
      </c>
      <c r="L59" s="19">
        <v>76</v>
      </c>
      <c r="O59" s="20">
        <f>reporte!F57</f>
        <v>28800</v>
      </c>
      <c r="P59" s="21">
        <f t="shared" si="1"/>
        <v>0.00130825220049837</v>
      </c>
      <c r="Q59" s="20" t="str">
        <f t="shared" si="2"/>
        <v> </v>
      </c>
    </row>
    <row r="60" s="4" customFormat="1" ht="45" spans="1:17">
      <c r="A60" s="10">
        <v>57</v>
      </c>
      <c r="B60" s="11" t="s">
        <v>12</v>
      </c>
      <c r="C60" s="11" t="s">
        <v>51</v>
      </c>
      <c r="D60" s="10" t="s">
        <v>21</v>
      </c>
      <c r="E60" s="10" t="s">
        <v>15</v>
      </c>
      <c r="F60" s="10" t="s">
        <v>19</v>
      </c>
      <c r="G60" s="10"/>
      <c r="H60" s="10"/>
      <c r="I60" s="18">
        <f>ROUND(reporte!F58*L60/100,0)</f>
        <v>49187</v>
      </c>
      <c r="J60" s="18">
        <f t="shared" si="0"/>
        <v>49187</v>
      </c>
      <c r="L60" s="19">
        <v>70</v>
      </c>
      <c r="O60" s="20">
        <f>reporte!F58</f>
        <v>70267</v>
      </c>
      <c r="P60" s="21">
        <f t="shared" si="1"/>
        <v>0.00319190824209788</v>
      </c>
      <c r="Q60" s="20" t="str">
        <f t="shared" si="2"/>
        <v> </v>
      </c>
    </row>
    <row r="61" s="4" customFormat="1" spans="1:17">
      <c r="A61" s="10">
        <v>58</v>
      </c>
      <c r="B61" s="11" t="s">
        <v>16</v>
      </c>
      <c r="C61" s="11" t="s">
        <v>17</v>
      </c>
      <c r="D61" s="10" t="s">
        <v>21</v>
      </c>
      <c r="E61" s="10" t="s">
        <v>15</v>
      </c>
      <c r="F61" s="10" t="s">
        <v>19</v>
      </c>
      <c r="G61" s="10"/>
      <c r="H61" s="10"/>
      <c r="I61" s="18">
        <f>ROUND(reporte!F59*L61/100,0)</f>
        <v>21510</v>
      </c>
      <c r="J61" s="18">
        <f t="shared" si="0"/>
        <v>21510</v>
      </c>
      <c r="L61" s="19">
        <v>74</v>
      </c>
      <c r="O61" s="20">
        <f>reporte!F59</f>
        <v>29067</v>
      </c>
      <c r="P61" s="21">
        <f t="shared" si="1"/>
        <v>0.00132038078860716</v>
      </c>
      <c r="Q61" s="20" t="str">
        <f t="shared" si="2"/>
        <v> </v>
      </c>
    </row>
    <row r="62" s="4" customFormat="1" ht="45" spans="1:17">
      <c r="A62" s="10">
        <v>59</v>
      </c>
      <c r="B62" s="11" t="s">
        <v>12</v>
      </c>
      <c r="C62" s="11" t="s">
        <v>52</v>
      </c>
      <c r="D62" s="10" t="s">
        <v>21</v>
      </c>
      <c r="E62" s="10" t="s">
        <v>15</v>
      </c>
      <c r="F62" s="10" t="s">
        <v>19</v>
      </c>
      <c r="G62" s="10"/>
      <c r="H62" s="10"/>
      <c r="I62" s="18">
        <f>ROUND(reporte!F60*L62/100,0)</f>
        <v>149363</v>
      </c>
      <c r="J62" s="18">
        <f t="shared" si="0"/>
        <v>149363</v>
      </c>
      <c r="L62" s="19">
        <v>79</v>
      </c>
      <c r="O62" s="20">
        <f>reporte!F60</f>
        <v>189067</v>
      </c>
      <c r="P62" s="21">
        <f t="shared" si="1"/>
        <v>0.00858844856915367</v>
      </c>
      <c r="Q62" s="20" t="str">
        <f t="shared" si="2"/>
        <v> </v>
      </c>
    </row>
    <row r="63" s="4" customFormat="1" spans="1:17">
      <c r="A63" s="10">
        <v>60</v>
      </c>
      <c r="B63" s="11" t="s">
        <v>16</v>
      </c>
      <c r="C63" s="11" t="s">
        <v>17</v>
      </c>
      <c r="D63" s="10" t="s">
        <v>21</v>
      </c>
      <c r="E63" s="10" t="s">
        <v>15</v>
      </c>
      <c r="F63" s="10" t="s">
        <v>19</v>
      </c>
      <c r="G63" s="10"/>
      <c r="H63" s="10"/>
      <c r="I63" s="18">
        <f>ROUND(reporte!F61*L63/100,0)</f>
        <v>22568</v>
      </c>
      <c r="J63" s="18">
        <f t="shared" si="0"/>
        <v>22568</v>
      </c>
      <c r="L63" s="19">
        <v>78</v>
      </c>
      <c r="O63" s="20">
        <f>reporte!F61</f>
        <v>28933</v>
      </c>
      <c r="P63" s="21">
        <f t="shared" si="1"/>
        <v>0.00131429378184095</v>
      </c>
      <c r="Q63" s="20" t="str">
        <f t="shared" si="2"/>
        <v> </v>
      </c>
    </row>
    <row r="64" s="4" customFormat="1" ht="45" spans="1:17">
      <c r="A64" s="10">
        <v>61</v>
      </c>
      <c r="B64" s="11" t="s">
        <v>12</v>
      </c>
      <c r="C64" s="11" t="s">
        <v>53</v>
      </c>
      <c r="D64" s="10" t="s">
        <v>21</v>
      </c>
      <c r="E64" s="10" t="s">
        <v>15</v>
      </c>
      <c r="F64" s="10" t="s">
        <v>19</v>
      </c>
      <c r="G64" s="10"/>
      <c r="H64" s="10"/>
      <c r="I64" s="18">
        <f>ROUND(reporte!F62*L64/100,0)</f>
        <v>42008</v>
      </c>
      <c r="J64" s="18">
        <f t="shared" si="0"/>
        <v>42008</v>
      </c>
      <c r="L64" s="19">
        <v>74</v>
      </c>
      <c r="O64" s="20">
        <f>reporte!F62</f>
        <v>56767</v>
      </c>
      <c r="P64" s="21">
        <f t="shared" si="1"/>
        <v>0.00257866502311427</v>
      </c>
      <c r="Q64" s="20" t="str">
        <f t="shared" si="2"/>
        <v> </v>
      </c>
    </row>
    <row r="65" s="4" customFormat="1" spans="1:17">
      <c r="A65" s="10">
        <v>62</v>
      </c>
      <c r="B65" s="11" t="s">
        <v>16</v>
      </c>
      <c r="C65" s="11" t="s">
        <v>17</v>
      </c>
      <c r="D65" s="10" t="s">
        <v>21</v>
      </c>
      <c r="E65" s="10" t="s">
        <v>15</v>
      </c>
      <c r="F65" s="10" t="s">
        <v>19</v>
      </c>
      <c r="G65" s="10"/>
      <c r="H65" s="10"/>
      <c r="I65" s="18">
        <f>ROUND(reporte!F63*L65/100,0)</f>
        <v>15330</v>
      </c>
      <c r="J65" s="18">
        <f t="shared" si="0"/>
        <v>15330</v>
      </c>
      <c r="L65" s="19">
        <v>70</v>
      </c>
      <c r="O65" s="20">
        <f>reporte!F63</f>
        <v>21900</v>
      </c>
      <c r="P65" s="21">
        <f t="shared" si="1"/>
        <v>0.000994816777462303</v>
      </c>
      <c r="Q65" s="20" t="str">
        <f t="shared" si="2"/>
        <v> </v>
      </c>
    </row>
    <row r="66" s="4" customFormat="1" ht="45" spans="1:17">
      <c r="A66" s="10">
        <v>63</v>
      </c>
      <c r="B66" s="11" t="s">
        <v>12</v>
      </c>
      <c r="C66" s="11" t="s">
        <v>54</v>
      </c>
      <c r="D66" s="10" t="s">
        <v>21</v>
      </c>
      <c r="E66" s="10" t="s">
        <v>15</v>
      </c>
      <c r="F66" s="10" t="s">
        <v>19</v>
      </c>
      <c r="G66" s="10"/>
      <c r="H66" s="10"/>
      <c r="I66" s="18">
        <f>ROUND(reporte!F64*L66/100,0)</f>
        <v>57330</v>
      </c>
      <c r="J66" s="18">
        <f t="shared" si="0"/>
        <v>57330</v>
      </c>
      <c r="L66" s="19">
        <v>70</v>
      </c>
      <c r="O66" s="20">
        <f>reporte!F64</f>
        <v>81900</v>
      </c>
      <c r="P66" s="21">
        <f t="shared" si="1"/>
        <v>0.00372034219516724</v>
      </c>
      <c r="Q66" s="20" t="str">
        <f t="shared" si="2"/>
        <v> </v>
      </c>
    </row>
    <row r="67" s="4" customFormat="1" spans="1:17">
      <c r="A67" s="10">
        <v>64</v>
      </c>
      <c r="B67" s="11" t="s">
        <v>16</v>
      </c>
      <c r="C67" s="11" t="s">
        <v>17</v>
      </c>
      <c r="D67" s="10" t="s">
        <v>21</v>
      </c>
      <c r="E67" s="10" t="s">
        <v>15</v>
      </c>
      <c r="F67" s="10" t="s">
        <v>19</v>
      </c>
      <c r="G67" s="10"/>
      <c r="H67" s="10"/>
      <c r="I67" s="18">
        <f>ROUND(reporte!F65*L67/100,0)</f>
        <v>37786</v>
      </c>
      <c r="J67" s="18">
        <f t="shared" si="0"/>
        <v>37786</v>
      </c>
      <c r="L67" s="19">
        <v>80</v>
      </c>
      <c r="O67" s="20">
        <f>reporte!F65</f>
        <v>47233</v>
      </c>
      <c r="P67" s="21">
        <f t="shared" si="1"/>
        <v>0.00214557903424096</v>
      </c>
      <c r="Q67" s="20" t="str">
        <f t="shared" si="2"/>
        <v> </v>
      </c>
    </row>
    <row r="68" s="4" customFormat="1" ht="30" spans="1:17">
      <c r="A68" s="10">
        <v>65</v>
      </c>
      <c r="B68" s="11" t="s">
        <v>12</v>
      </c>
      <c r="C68" s="11" t="s">
        <v>55</v>
      </c>
      <c r="D68" s="10" t="s">
        <v>21</v>
      </c>
      <c r="E68" s="10" t="s">
        <v>15</v>
      </c>
      <c r="F68" s="10" t="s">
        <v>19</v>
      </c>
      <c r="G68" s="10"/>
      <c r="H68" s="10"/>
      <c r="I68" s="18">
        <f>ROUND(reporte!F66*L68/100,0)</f>
        <v>49591</v>
      </c>
      <c r="J68" s="18">
        <f t="shared" si="0"/>
        <v>49591</v>
      </c>
      <c r="L68" s="19">
        <v>73</v>
      </c>
      <c r="O68" s="20">
        <f>reporte!F66</f>
        <v>67933</v>
      </c>
      <c r="P68" s="21">
        <f t="shared" si="1"/>
        <v>0.00308588530334916</v>
      </c>
      <c r="Q68" s="20" t="str">
        <f t="shared" si="2"/>
        <v> </v>
      </c>
    </row>
    <row r="69" s="4" customFormat="1" spans="1:17">
      <c r="A69" s="10">
        <v>66</v>
      </c>
      <c r="B69" s="11" t="s">
        <v>16</v>
      </c>
      <c r="C69" s="11" t="s">
        <v>17</v>
      </c>
      <c r="D69" s="10" t="s">
        <v>21</v>
      </c>
      <c r="E69" s="10" t="s">
        <v>15</v>
      </c>
      <c r="F69" s="10" t="s">
        <v>19</v>
      </c>
      <c r="G69" s="10"/>
      <c r="H69" s="10"/>
      <c r="I69" s="18">
        <f>ROUND(reporte!F67*L69/100,0)</f>
        <v>20794</v>
      </c>
      <c r="J69" s="18">
        <f t="shared" si="0"/>
        <v>20794</v>
      </c>
      <c r="L69" s="19">
        <v>74</v>
      </c>
      <c r="O69" s="20">
        <f>reporte!F67</f>
        <v>28100</v>
      </c>
      <c r="P69" s="21">
        <f t="shared" si="1"/>
        <v>0.00127645440395848</v>
      </c>
      <c r="Q69" s="20" t="str">
        <f t="shared" si="2"/>
        <v> </v>
      </c>
    </row>
    <row r="70" s="4" customFormat="1" ht="30" spans="1:17">
      <c r="A70" s="10">
        <v>67</v>
      </c>
      <c r="B70" s="11" t="s">
        <v>12</v>
      </c>
      <c r="C70" s="11" t="s">
        <v>56</v>
      </c>
      <c r="D70" s="10" t="s">
        <v>21</v>
      </c>
      <c r="E70" s="10" t="s">
        <v>15</v>
      </c>
      <c r="F70" s="10" t="s">
        <v>19</v>
      </c>
      <c r="G70" s="10"/>
      <c r="H70" s="10"/>
      <c r="I70" s="18">
        <f>ROUND(reporte!F68*L70/100,0)</f>
        <v>44898</v>
      </c>
      <c r="J70" s="18">
        <f t="shared" si="0"/>
        <v>44898</v>
      </c>
      <c r="L70" s="19">
        <v>79</v>
      </c>
      <c r="O70" s="20">
        <f>reporte!F68</f>
        <v>56833</v>
      </c>
      <c r="P70" s="21">
        <f t="shared" si="1"/>
        <v>0.00258166310107375</v>
      </c>
      <c r="Q70" s="20" t="str">
        <f t="shared" si="2"/>
        <v> </v>
      </c>
    </row>
    <row r="71" s="4" customFormat="1" spans="1:17">
      <c r="A71" s="10">
        <v>68</v>
      </c>
      <c r="B71" s="11" t="s">
        <v>16</v>
      </c>
      <c r="C71" s="11" t="s">
        <v>17</v>
      </c>
      <c r="D71" s="10" t="s">
        <v>21</v>
      </c>
      <c r="E71" s="10" t="s">
        <v>15</v>
      </c>
      <c r="F71" s="10" t="s">
        <v>19</v>
      </c>
      <c r="G71" s="10"/>
      <c r="H71" s="10"/>
      <c r="I71" s="18">
        <f>ROUND(reporte!F69*L71/100,0)</f>
        <v>17406</v>
      </c>
      <c r="J71" s="18">
        <f t="shared" si="0"/>
        <v>17406</v>
      </c>
      <c r="L71" s="19">
        <v>79</v>
      </c>
      <c r="O71" s="20">
        <f>reporte!F69</f>
        <v>22033</v>
      </c>
      <c r="P71" s="21">
        <f t="shared" si="1"/>
        <v>0.00100085835880488</v>
      </c>
      <c r="Q71" s="20" t="str">
        <f t="shared" si="2"/>
        <v> </v>
      </c>
    </row>
    <row r="72" s="4" customFormat="1" ht="45" spans="1:17">
      <c r="A72" s="10">
        <v>69</v>
      </c>
      <c r="B72" s="11" t="s">
        <v>12</v>
      </c>
      <c r="C72" s="11" t="s">
        <v>57</v>
      </c>
      <c r="D72" s="10" t="s">
        <v>21</v>
      </c>
      <c r="E72" s="10" t="s">
        <v>15</v>
      </c>
      <c r="F72" s="10" t="s">
        <v>19</v>
      </c>
      <c r="G72" s="10"/>
      <c r="H72" s="10"/>
      <c r="I72" s="18">
        <f>ROUND(reporte!F70*L72/100,0)</f>
        <v>95511</v>
      </c>
      <c r="J72" s="18">
        <f t="shared" si="0"/>
        <v>95511</v>
      </c>
      <c r="L72" s="19">
        <v>79</v>
      </c>
      <c r="O72" s="20">
        <f>reporte!F70</f>
        <v>120900</v>
      </c>
      <c r="P72" s="21">
        <f t="shared" si="1"/>
        <v>0.00549193371667546</v>
      </c>
      <c r="Q72" s="20" t="str">
        <f t="shared" si="2"/>
        <v> </v>
      </c>
    </row>
    <row r="73" s="4" customFormat="1" spans="1:17">
      <c r="A73" s="10">
        <v>70</v>
      </c>
      <c r="B73" s="11" t="s">
        <v>16</v>
      </c>
      <c r="C73" s="11" t="s">
        <v>22</v>
      </c>
      <c r="D73" s="10" t="s">
        <v>21</v>
      </c>
      <c r="E73" s="10" t="s">
        <v>15</v>
      </c>
      <c r="F73" s="10" t="s">
        <v>19</v>
      </c>
      <c r="G73" s="10"/>
      <c r="H73" s="10"/>
      <c r="I73" s="18">
        <f>ROUND(reporte!F71*L73/100,0)</f>
        <v>49863</v>
      </c>
      <c r="J73" s="18">
        <f t="shared" si="0"/>
        <v>49863</v>
      </c>
      <c r="L73" s="19">
        <v>70</v>
      </c>
      <c r="O73" s="20">
        <f>reporte!F71</f>
        <v>71233</v>
      </c>
      <c r="P73" s="21">
        <f t="shared" si="1"/>
        <v>0.00323578920132293</v>
      </c>
      <c r="Q73" s="20" t="str">
        <f t="shared" si="2"/>
        <v> </v>
      </c>
    </row>
    <row r="74" s="4" customFormat="1" ht="45" spans="1:17">
      <c r="A74" s="10">
        <v>71</v>
      </c>
      <c r="B74" s="11" t="s">
        <v>12</v>
      </c>
      <c r="C74" s="11" t="s">
        <v>58</v>
      </c>
      <c r="D74" s="10" t="s">
        <v>21</v>
      </c>
      <c r="E74" s="10" t="s">
        <v>15</v>
      </c>
      <c r="F74" s="10" t="s">
        <v>19</v>
      </c>
      <c r="G74" s="10"/>
      <c r="H74" s="10"/>
      <c r="I74" s="18">
        <f>ROUND(reporte!F72*L74/100,0)</f>
        <v>59440</v>
      </c>
      <c r="J74" s="18">
        <f t="shared" si="0"/>
        <v>59440</v>
      </c>
      <c r="L74" s="19">
        <v>80</v>
      </c>
      <c r="O74" s="20">
        <f>reporte!F72</f>
        <v>74300</v>
      </c>
      <c r="P74" s="21">
        <f t="shared" si="1"/>
        <v>0.00337510897559128</v>
      </c>
      <c r="Q74" s="20" t="str">
        <f t="shared" si="2"/>
        <v> </v>
      </c>
    </row>
    <row r="75" s="4" customFormat="1" spans="1:17">
      <c r="A75" s="10">
        <v>72</v>
      </c>
      <c r="B75" s="11" t="s">
        <v>16</v>
      </c>
      <c r="C75" s="11" t="s">
        <v>22</v>
      </c>
      <c r="D75" s="10" t="s">
        <v>21</v>
      </c>
      <c r="E75" s="10" t="s">
        <v>15</v>
      </c>
      <c r="F75" s="10" t="s">
        <v>19</v>
      </c>
      <c r="G75" s="10"/>
      <c r="H75" s="10"/>
      <c r="I75" s="18">
        <f>ROUND(reporte!F73*L75/100,0)</f>
        <v>22933</v>
      </c>
      <c r="J75" s="18">
        <f t="shared" si="0"/>
        <v>22933</v>
      </c>
      <c r="L75" s="19">
        <v>71</v>
      </c>
      <c r="O75" s="20">
        <f>reporte!F73</f>
        <v>32300</v>
      </c>
      <c r="P75" s="21">
        <f t="shared" si="1"/>
        <v>0.00146724118319783</v>
      </c>
      <c r="Q75" s="20" t="str">
        <f t="shared" si="2"/>
        <v> </v>
      </c>
    </row>
    <row r="76" s="4" customFormat="1" ht="30" spans="1:17">
      <c r="A76" s="10">
        <v>73</v>
      </c>
      <c r="B76" s="11" t="s">
        <v>12</v>
      </c>
      <c r="C76" s="11" t="s">
        <v>59</v>
      </c>
      <c r="D76" s="10" t="s">
        <v>21</v>
      </c>
      <c r="E76" s="10" t="s">
        <v>15</v>
      </c>
      <c r="F76" s="10" t="s">
        <v>19</v>
      </c>
      <c r="G76" s="10"/>
      <c r="H76" s="10"/>
      <c r="I76" s="18">
        <f>ROUND(reporte!F74*L76/100,0)</f>
        <v>78621</v>
      </c>
      <c r="J76" s="18">
        <f t="shared" si="0"/>
        <v>78621</v>
      </c>
      <c r="L76" s="19">
        <v>73</v>
      </c>
      <c r="O76" s="20">
        <f>reporte!F74</f>
        <v>107700</v>
      </c>
      <c r="P76" s="21">
        <f t="shared" si="1"/>
        <v>0.00489231812478037</v>
      </c>
      <c r="Q76" s="20" t="str">
        <f t="shared" si="2"/>
        <v> </v>
      </c>
    </row>
    <row r="77" s="4" customFormat="1" spans="1:17">
      <c r="A77" s="10">
        <v>74</v>
      </c>
      <c r="B77" s="11" t="s">
        <v>16</v>
      </c>
      <c r="C77" s="11" t="s">
        <v>17</v>
      </c>
      <c r="D77" s="10" t="s">
        <v>21</v>
      </c>
      <c r="E77" s="10" t="s">
        <v>15</v>
      </c>
      <c r="F77" s="10" t="s">
        <v>19</v>
      </c>
      <c r="G77" s="10"/>
      <c r="H77" s="10"/>
      <c r="I77" s="18">
        <f>ROUND(reporte!F75*L77/100,0)</f>
        <v>32753</v>
      </c>
      <c r="J77" s="18">
        <f t="shared" si="0"/>
        <v>32753</v>
      </c>
      <c r="L77" s="19">
        <v>73</v>
      </c>
      <c r="O77" s="20">
        <f>reporte!F75</f>
        <v>44867</v>
      </c>
      <c r="P77" s="21">
        <f t="shared" si="1"/>
        <v>0.00203810248193613</v>
      </c>
      <c r="Q77" s="20" t="str">
        <f t="shared" si="2"/>
        <v> </v>
      </c>
    </row>
    <row r="78" s="4" customFormat="1" ht="45" spans="1:17">
      <c r="A78" s="10">
        <v>75</v>
      </c>
      <c r="B78" s="11" t="s">
        <v>12</v>
      </c>
      <c r="C78" s="11" t="s">
        <v>60</v>
      </c>
      <c r="D78" s="10" t="s">
        <v>21</v>
      </c>
      <c r="E78" s="10" t="s">
        <v>15</v>
      </c>
      <c r="F78" s="10" t="s">
        <v>19</v>
      </c>
      <c r="G78" s="10"/>
      <c r="H78" s="10"/>
      <c r="I78" s="18">
        <f>ROUND(reporte!F76*L78/100,0)</f>
        <v>53798</v>
      </c>
      <c r="J78" s="18">
        <f t="shared" si="0"/>
        <v>53798</v>
      </c>
      <c r="L78" s="19">
        <v>74</v>
      </c>
      <c r="O78" s="20">
        <f>reporte!F76</f>
        <v>72700</v>
      </c>
      <c r="P78" s="21">
        <f t="shared" si="1"/>
        <v>0.00330242829778582</v>
      </c>
      <c r="Q78" s="20" t="str">
        <f t="shared" si="2"/>
        <v> </v>
      </c>
    </row>
    <row r="79" s="4" customFormat="1" spans="1:17">
      <c r="A79" s="10">
        <v>76</v>
      </c>
      <c r="B79" s="11" t="s">
        <v>16</v>
      </c>
      <c r="C79" s="11" t="s">
        <v>17</v>
      </c>
      <c r="D79" s="10" t="s">
        <v>21</v>
      </c>
      <c r="E79" s="10" t="s">
        <v>15</v>
      </c>
      <c r="F79" s="10" t="s">
        <v>19</v>
      </c>
      <c r="G79" s="10"/>
      <c r="H79" s="10"/>
      <c r="I79" s="18">
        <f>ROUND(reporte!F77*L79/100,0)</f>
        <v>22800</v>
      </c>
      <c r="J79" s="18">
        <f t="shared" si="0"/>
        <v>22800</v>
      </c>
      <c r="L79" s="19">
        <v>75</v>
      </c>
      <c r="O79" s="20">
        <f>reporte!F77</f>
        <v>30400</v>
      </c>
      <c r="P79" s="21">
        <f t="shared" si="1"/>
        <v>0.00138093287830384</v>
      </c>
      <c r="Q79" s="20" t="str">
        <f t="shared" si="2"/>
        <v> </v>
      </c>
    </row>
    <row r="80" s="4" customFormat="1" ht="45" spans="1:17">
      <c r="A80" s="10">
        <v>77</v>
      </c>
      <c r="B80" s="11" t="s">
        <v>12</v>
      </c>
      <c r="C80" s="11" t="s">
        <v>61</v>
      </c>
      <c r="D80" s="10" t="s">
        <v>21</v>
      </c>
      <c r="E80" s="10" t="s">
        <v>15</v>
      </c>
      <c r="F80" s="10" t="s">
        <v>19</v>
      </c>
      <c r="G80" s="10"/>
      <c r="H80" s="10"/>
      <c r="I80" s="18">
        <f>ROUND(reporte!F78*L80/100,0)</f>
        <v>98346</v>
      </c>
      <c r="J80" s="18">
        <f t="shared" si="0"/>
        <v>98346</v>
      </c>
      <c r="L80" s="19">
        <v>74</v>
      </c>
      <c r="O80" s="20">
        <f>reporte!F78</f>
        <v>132900</v>
      </c>
      <c r="P80" s="21">
        <f t="shared" si="1"/>
        <v>0.00603703880021644</v>
      </c>
      <c r="Q80" s="20" t="str">
        <f t="shared" si="2"/>
        <v> </v>
      </c>
    </row>
    <row r="81" s="4" customFormat="1" spans="1:17">
      <c r="A81" s="10">
        <v>78</v>
      </c>
      <c r="B81" s="11" t="s">
        <v>16</v>
      </c>
      <c r="C81" s="11" t="s">
        <v>17</v>
      </c>
      <c r="D81" s="10" t="s">
        <v>21</v>
      </c>
      <c r="E81" s="10" t="s">
        <v>15</v>
      </c>
      <c r="F81" s="10" t="s">
        <v>19</v>
      </c>
      <c r="G81" s="10"/>
      <c r="H81" s="10"/>
      <c r="I81" s="18">
        <f>ROUND(reporte!F79*L81/100,0)</f>
        <v>34506</v>
      </c>
      <c r="J81" s="18">
        <f t="shared" si="0"/>
        <v>34506</v>
      </c>
      <c r="L81" s="19">
        <v>71</v>
      </c>
      <c r="O81" s="20">
        <f>reporte!F79</f>
        <v>48600</v>
      </c>
      <c r="P81" s="21">
        <f t="shared" si="1"/>
        <v>0.002207675588341</v>
      </c>
      <c r="Q81" s="20" t="str">
        <f t="shared" si="2"/>
        <v> </v>
      </c>
    </row>
    <row r="82" s="4" customFormat="1" ht="45" spans="1:17">
      <c r="A82" s="10">
        <v>79</v>
      </c>
      <c r="B82" s="11" t="s">
        <v>12</v>
      </c>
      <c r="C82" s="11" t="s">
        <v>62</v>
      </c>
      <c r="D82" s="10" t="s">
        <v>21</v>
      </c>
      <c r="E82" s="10" t="s">
        <v>15</v>
      </c>
      <c r="F82" s="10" t="s">
        <v>19</v>
      </c>
      <c r="G82" s="10"/>
      <c r="H82" s="10"/>
      <c r="I82" s="18">
        <f>ROUND(reporte!F80*L82/100,0)</f>
        <v>39987</v>
      </c>
      <c r="J82" s="18">
        <f t="shared" si="0"/>
        <v>39987</v>
      </c>
      <c r="L82" s="22">
        <v>20</v>
      </c>
      <c r="O82" s="20">
        <f>reporte!F80</f>
        <v>199933</v>
      </c>
      <c r="P82" s="21">
        <f t="shared" si="1"/>
        <v>0.00908204122230003</v>
      </c>
      <c r="Q82" s="20" t="str">
        <f t="shared" si="2"/>
        <v>ALTO</v>
      </c>
    </row>
    <row r="83" s="4" customFormat="1" spans="1:17">
      <c r="A83" s="10">
        <v>80</v>
      </c>
      <c r="B83" s="11" t="s">
        <v>16</v>
      </c>
      <c r="C83" s="11" t="s">
        <v>17</v>
      </c>
      <c r="D83" s="10" t="s">
        <v>21</v>
      </c>
      <c r="E83" s="10" t="s">
        <v>15</v>
      </c>
      <c r="F83" s="10" t="s">
        <v>19</v>
      </c>
      <c r="G83" s="10"/>
      <c r="H83" s="10"/>
      <c r="I83" s="18">
        <f>ROUND(reporte!F81*L83/100,0)</f>
        <v>44770</v>
      </c>
      <c r="J83" s="18">
        <f t="shared" si="0"/>
        <v>44770</v>
      </c>
      <c r="L83" s="19">
        <v>74</v>
      </c>
      <c r="O83" s="20">
        <f>reporte!F81</f>
        <v>60500</v>
      </c>
      <c r="P83" s="21">
        <f t="shared" si="1"/>
        <v>0.00274823812951915</v>
      </c>
      <c r="Q83" s="20" t="str">
        <f t="shared" si="2"/>
        <v> </v>
      </c>
    </row>
    <row r="84" s="4" customFormat="1" ht="45" spans="1:17">
      <c r="A84" s="10">
        <v>81</v>
      </c>
      <c r="B84" s="11" t="s">
        <v>12</v>
      </c>
      <c r="C84" s="11" t="s">
        <v>63</v>
      </c>
      <c r="D84" s="10" t="s">
        <v>42</v>
      </c>
      <c r="E84" s="10" t="s">
        <v>15</v>
      </c>
      <c r="F84" s="10" t="s">
        <v>19</v>
      </c>
      <c r="G84" s="10"/>
      <c r="H84" s="10"/>
      <c r="I84" s="18">
        <f>ROUND(reporte!F82*L84/100,0)</f>
        <v>88059</v>
      </c>
      <c r="J84" s="18">
        <f t="shared" si="0"/>
        <v>88059</v>
      </c>
      <c r="L84" s="19">
        <v>79</v>
      </c>
      <c r="O84" s="20">
        <f>reporte!F82</f>
        <v>111467</v>
      </c>
      <c r="P84" s="21">
        <f t="shared" si="1"/>
        <v>0.00506343569558861</v>
      </c>
      <c r="Q84" s="20" t="str">
        <f t="shared" si="2"/>
        <v> </v>
      </c>
    </row>
    <row r="85" s="4" customFormat="1" spans="1:17">
      <c r="A85" s="10">
        <v>82</v>
      </c>
      <c r="B85" s="11" t="s">
        <v>16</v>
      </c>
      <c r="C85" s="11" t="s">
        <v>22</v>
      </c>
      <c r="D85" s="10" t="s">
        <v>21</v>
      </c>
      <c r="E85" s="10" t="s">
        <v>15</v>
      </c>
      <c r="F85" s="10" t="s">
        <v>19</v>
      </c>
      <c r="G85" s="10"/>
      <c r="H85" s="10"/>
      <c r="I85" s="18">
        <f>ROUND(reporte!F83*L85/100,0)</f>
        <v>32560</v>
      </c>
      <c r="J85" s="18">
        <f t="shared" si="0"/>
        <v>32560</v>
      </c>
      <c r="L85" s="19">
        <v>80</v>
      </c>
      <c r="O85" s="20">
        <f>reporte!F83</f>
        <v>40700</v>
      </c>
      <c r="P85" s="21">
        <f t="shared" si="1"/>
        <v>0.00184881474167652</v>
      </c>
      <c r="Q85" s="20" t="str">
        <f t="shared" si="2"/>
        <v> </v>
      </c>
    </row>
    <row r="86" s="4" customFormat="1" ht="45" spans="1:17">
      <c r="A86" s="10">
        <v>83</v>
      </c>
      <c r="B86" s="11" t="s">
        <v>12</v>
      </c>
      <c r="C86" s="11" t="s">
        <v>64</v>
      </c>
      <c r="D86" s="10" t="s">
        <v>21</v>
      </c>
      <c r="E86" s="10" t="s">
        <v>15</v>
      </c>
      <c r="F86" s="10" t="s">
        <v>19</v>
      </c>
      <c r="G86" s="10"/>
      <c r="H86" s="10"/>
      <c r="I86" s="18">
        <f>ROUND(reporte!F84*L86/100,0)</f>
        <v>77760</v>
      </c>
      <c r="J86" s="18">
        <f t="shared" si="0"/>
        <v>77760</v>
      </c>
      <c r="L86" s="19">
        <v>72</v>
      </c>
      <c r="O86" s="20">
        <f>reporte!F84</f>
        <v>108000</v>
      </c>
      <c r="P86" s="21">
        <f t="shared" si="1"/>
        <v>0.00490594575186889</v>
      </c>
      <c r="Q86" s="20" t="str">
        <f t="shared" si="2"/>
        <v> </v>
      </c>
    </row>
    <row r="87" s="4" customFormat="1" spans="1:17">
      <c r="A87" s="10">
        <v>84</v>
      </c>
      <c r="B87" s="11" t="s">
        <v>16</v>
      </c>
      <c r="C87" s="11" t="s">
        <v>17</v>
      </c>
      <c r="D87" s="10" t="s">
        <v>21</v>
      </c>
      <c r="E87" s="10" t="s">
        <v>15</v>
      </c>
      <c r="F87" s="10" t="s">
        <v>19</v>
      </c>
      <c r="G87" s="10"/>
      <c r="H87" s="10"/>
      <c r="I87" s="18">
        <f>ROUND(reporte!F85*L87/100,0)</f>
        <v>36480</v>
      </c>
      <c r="J87" s="18">
        <f t="shared" si="0"/>
        <v>36480</v>
      </c>
      <c r="L87" s="19">
        <v>76</v>
      </c>
      <c r="O87" s="20">
        <f>reporte!F85</f>
        <v>48000</v>
      </c>
      <c r="P87" s="21">
        <f t="shared" si="1"/>
        <v>0.00218042033416395</v>
      </c>
      <c r="Q87" s="20" t="str">
        <f t="shared" si="2"/>
        <v> </v>
      </c>
    </row>
    <row r="88" s="4" customFormat="1" ht="45" spans="1:17">
      <c r="A88" s="10">
        <v>85</v>
      </c>
      <c r="B88" s="11" t="s">
        <v>12</v>
      </c>
      <c r="C88" s="11" t="s">
        <v>65</v>
      </c>
      <c r="D88" s="10" t="s">
        <v>21</v>
      </c>
      <c r="E88" s="10" t="s">
        <v>15</v>
      </c>
      <c r="F88" s="10" t="s">
        <v>19</v>
      </c>
      <c r="G88" s="10"/>
      <c r="H88" s="10"/>
      <c r="I88" s="18">
        <f>ROUND(reporte!F86*L88/100,0)</f>
        <v>95368</v>
      </c>
      <c r="J88" s="18">
        <f t="shared" si="0"/>
        <v>95368</v>
      </c>
      <c r="L88" s="19">
        <v>78</v>
      </c>
      <c r="O88" s="20">
        <f>reporte!F86</f>
        <v>122267</v>
      </c>
      <c r="P88" s="21">
        <f t="shared" si="1"/>
        <v>0.0055540302707755</v>
      </c>
      <c r="Q88" s="20" t="str">
        <f t="shared" si="2"/>
        <v> </v>
      </c>
    </row>
    <row r="89" s="4" customFormat="1" spans="1:17">
      <c r="A89" s="10">
        <v>86</v>
      </c>
      <c r="B89" s="11" t="s">
        <v>16</v>
      </c>
      <c r="C89" s="11" t="s">
        <v>22</v>
      </c>
      <c r="D89" s="10" t="s">
        <v>21</v>
      </c>
      <c r="E89" s="10" t="s">
        <v>15</v>
      </c>
      <c r="F89" s="10" t="s">
        <v>19</v>
      </c>
      <c r="G89" s="10"/>
      <c r="H89" s="10"/>
      <c r="I89" s="18">
        <f>ROUND(reporte!F87*L89/100,0)</f>
        <v>32096</v>
      </c>
      <c r="J89" s="18">
        <f t="shared" si="0"/>
        <v>32096</v>
      </c>
      <c r="L89" s="19">
        <v>73</v>
      </c>
      <c r="O89" s="20">
        <f>reporte!F87</f>
        <v>43967</v>
      </c>
      <c r="P89" s="21">
        <f t="shared" si="1"/>
        <v>0.00199721960067055</v>
      </c>
      <c r="Q89" s="20" t="str">
        <f t="shared" si="2"/>
        <v> </v>
      </c>
    </row>
    <row r="90" s="4" customFormat="1" ht="45" spans="1:17">
      <c r="A90" s="10">
        <v>87</v>
      </c>
      <c r="B90" s="11" t="s">
        <v>12</v>
      </c>
      <c r="C90" s="11" t="s">
        <v>66</v>
      </c>
      <c r="D90" s="10" t="s">
        <v>21</v>
      </c>
      <c r="E90" s="10" t="s">
        <v>15</v>
      </c>
      <c r="F90" s="10" t="s">
        <v>19</v>
      </c>
      <c r="G90" s="10"/>
      <c r="H90" s="10"/>
      <c r="I90" s="18">
        <f>ROUND(reporte!F88*L90/100,0)</f>
        <v>180933</v>
      </c>
      <c r="J90" s="18">
        <f t="shared" si="0"/>
        <v>180933</v>
      </c>
      <c r="L90" s="22">
        <v>20</v>
      </c>
      <c r="O90" s="20">
        <f>reporte!F88</f>
        <v>904667</v>
      </c>
      <c r="P90" s="21">
        <f t="shared" si="1"/>
        <v>0.0410948817176479</v>
      </c>
      <c r="Q90" s="20" t="str">
        <f t="shared" si="2"/>
        <v>ALTO</v>
      </c>
    </row>
    <row r="91" s="4" customFormat="1" spans="1:17">
      <c r="A91" s="10">
        <v>88</v>
      </c>
      <c r="B91" s="11" t="s">
        <v>16</v>
      </c>
      <c r="C91" s="11" t="s">
        <v>17</v>
      </c>
      <c r="D91" s="10" t="s">
        <v>21</v>
      </c>
      <c r="E91" s="10" t="s">
        <v>15</v>
      </c>
      <c r="F91" s="10" t="s">
        <v>19</v>
      </c>
      <c r="G91" s="10"/>
      <c r="H91" s="10"/>
      <c r="I91" s="18">
        <f>ROUND(reporte!F89*L91/100,0)</f>
        <v>99280</v>
      </c>
      <c r="J91" s="18">
        <f t="shared" si="0"/>
        <v>99280</v>
      </c>
      <c r="L91" s="19">
        <v>80</v>
      </c>
      <c r="O91" s="20">
        <f>reporte!F89</f>
        <v>124100</v>
      </c>
      <c r="P91" s="21">
        <f t="shared" si="1"/>
        <v>0.00563729507228638</v>
      </c>
      <c r="Q91" s="20" t="str">
        <f t="shared" si="2"/>
        <v> </v>
      </c>
    </row>
    <row r="92" s="4" customFormat="1" ht="45" spans="1:17">
      <c r="A92" s="10">
        <v>89</v>
      </c>
      <c r="B92" s="11" t="s">
        <v>12</v>
      </c>
      <c r="C92" s="11" t="s">
        <v>67</v>
      </c>
      <c r="D92" s="10" t="s">
        <v>21</v>
      </c>
      <c r="E92" s="10" t="s">
        <v>15</v>
      </c>
      <c r="F92" s="10" t="s">
        <v>19</v>
      </c>
      <c r="G92" s="10"/>
      <c r="H92" s="10"/>
      <c r="I92" s="18">
        <f>ROUND(reporte!F90*L92/100,0)</f>
        <v>107825</v>
      </c>
      <c r="J92" s="18">
        <f t="shared" si="0"/>
        <v>107825</v>
      </c>
      <c r="L92" s="19">
        <v>77</v>
      </c>
      <c r="O92" s="20">
        <f>reporte!F90</f>
        <v>140033</v>
      </c>
      <c r="P92" s="21">
        <f t="shared" si="1"/>
        <v>0.00636105834695793</v>
      </c>
      <c r="Q92" s="20" t="str">
        <f t="shared" si="2"/>
        <v> </v>
      </c>
    </row>
    <row r="93" s="4" customFormat="1" spans="1:17">
      <c r="A93" s="10">
        <v>90</v>
      </c>
      <c r="B93" s="11" t="s">
        <v>16</v>
      </c>
      <c r="C93" s="11" t="s">
        <v>17</v>
      </c>
      <c r="D93" s="10" t="s">
        <v>21</v>
      </c>
      <c r="E93" s="10" t="s">
        <v>15</v>
      </c>
      <c r="F93" s="10" t="s">
        <v>19</v>
      </c>
      <c r="G93" s="10"/>
      <c r="H93" s="10"/>
      <c r="I93" s="18">
        <f>ROUND(reporte!F91*L93/100,0)</f>
        <v>53064</v>
      </c>
      <c r="J93" s="18">
        <f t="shared" si="0"/>
        <v>53064</v>
      </c>
      <c r="L93" s="19">
        <v>72</v>
      </c>
      <c r="O93" s="20">
        <f>reporte!F91</f>
        <v>73700</v>
      </c>
      <c r="P93" s="21">
        <f t="shared" si="1"/>
        <v>0.00334785372141424</v>
      </c>
      <c r="Q93" s="20" t="str">
        <f t="shared" si="2"/>
        <v> </v>
      </c>
    </row>
    <row r="94" s="4" customFormat="1" ht="45" spans="1:17">
      <c r="A94" s="10">
        <v>91</v>
      </c>
      <c r="B94" s="11" t="s">
        <v>12</v>
      </c>
      <c r="C94" s="11" t="s">
        <v>68</v>
      </c>
      <c r="D94" s="10" t="s">
        <v>21</v>
      </c>
      <c r="E94" s="10" t="s">
        <v>15</v>
      </c>
      <c r="F94" s="10" t="s">
        <v>19</v>
      </c>
      <c r="G94" s="10"/>
      <c r="H94" s="10"/>
      <c r="I94" s="18">
        <f>ROUND(reporte!F92*L94/100,0)</f>
        <v>51275</v>
      </c>
      <c r="J94" s="18">
        <f t="shared" si="0"/>
        <v>51275</v>
      </c>
      <c r="L94" s="19">
        <v>76</v>
      </c>
      <c r="O94" s="20">
        <f>reporte!F92</f>
        <v>67467</v>
      </c>
      <c r="P94" s="21">
        <f t="shared" si="1"/>
        <v>0.00306471705593832</v>
      </c>
      <c r="Q94" s="20" t="str">
        <f t="shared" si="2"/>
        <v> </v>
      </c>
    </row>
    <row r="95" s="4" customFormat="1" spans="1:17">
      <c r="A95" s="10">
        <v>92</v>
      </c>
      <c r="B95" s="11" t="s">
        <v>16</v>
      </c>
      <c r="C95" s="11" t="s">
        <v>17</v>
      </c>
      <c r="D95" s="10" t="s">
        <v>21</v>
      </c>
      <c r="E95" s="10" t="s">
        <v>15</v>
      </c>
      <c r="F95" s="10" t="s">
        <v>19</v>
      </c>
      <c r="G95" s="10"/>
      <c r="H95" s="10"/>
      <c r="I95" s="18">
        <f>ROUND(reporte!F93*L95/100,0)</f>
        <v>25925</v>
      </c>
      <c r="J95" s="18">
        <f t="shared" si="0"/>
        <v>25925</v>
      </c>
      <c r="L95" s="19">
        <v>75</v>
      </c>
      <c r="O95" s="20">
        <f>reporte!F93</f>
        <v>34567</v>
      </c>
      <c r="P95" s="21">
        <f t="shared" si="1"/>
        <v>0.00157022061856344</v>
      </c>
      <c r="Q95" s="20" t="str">
        <f t="shared" si="2"/>
        <v> </v>
      </c>
    </row>
    <row r="96" s="4" customFormat="1" ht="45" spans="1:17">
      <c r="A96" s="10">
        <v>93</v>
      </c>
      <c r="B96" s="11" t="s">
        <v>12</v>
      </c>
      <c r="C96" s="11" t="s">
        <v>69</v>
      </c>
      <c r="D96" s="10" t="s">
        <v>21</v>
      </c>
      <c r="E96" s="10" t="s">
        <v>15</v>
      </c>
      <c r="F96" s="10" t="s">
        <v>19</v>
      </c>
      <c r="G96" s="10"/>
      <c r="H96" s="10"/>
      <c r="I96" s="18">
        <f>ROUND(reporte!F94*L96/100,0)</f>
        <v>62510</v>
      </c>
      <c r="J96" s="18">
        <f t="shared" si="0"/>
        <v>62510</v>
      </c>
      <c r="L96" s="19">
        <v>70</v>
      </c>
      <c r="O96" s="20">
        <f>reporte!F94</f>
        <v>89300</v>
      </c>
      <c r="P96" s="21">
        <f t="shared" si="1"/>
        <v>0.00405649033001752</v>
      </c>
      <c r="Q96" s="20" t="str">
        <f t="shared" si="2"/>
        <v> </v>
      </c>
    </row>
    <row r="97" s="4" customFormat="1" spans="1:17">
      <c r="A97" s="10">
        <v>94</v>
      </c>
      <c r="B97" s="11" t="s">
        <v>16</v>
      </c>
      <c r="C97" s="11" t="s">
        <v>17</v>
      </c>
      <c r="D97" s="10" t="s">
        <v>21</v>
      </c>
      <c r="E97" s="10" t="s">
        <v>15</v>
      </c>
      <c r="F97" s="10" t="s">
        <v>19</v>
      </c>
      <c r="G97" s="10"/>
      <c r="H97" s="10"/>
      <c r="I97" s="18">
        <f>ROUND(reporte!F95*L97/100,0)</f>
        <v>38115</v>
      </c>
      <c r="J97" s="18">
        <f t="shared" si="0"/>
        <v>38115</v>
      </c>
      <c r="L97" s="19">
        <v>77</v>
      </c>
      <c r="O97" s="20">
        <f>reporte!F95</f>
        <v>49500</v>
      </c>
      <c r="P97" s="21">
        <f t="shared" si="1"/>
        <v>0.00224855846960658</v>
      </c>
      <c r="Q97" s="20" t="str">
        <f t="shared" si="2"/>
        <v> </v>
      </c>
    </row>
    <row r="98" s="4" customFormat="1" ht="45" spans="1:17">
      <c r="A98" s="10">
        <v>95</v>
      </c>
      <c r="B98" s="11" t="s">
        <v>12</v>
      </c>
      <c r="C98" s="11" t="s">
        <v>70</v>
      </c>
      <c r="D98" s="10" t="s">
        <v>21</v>
      </c>
      <c r="E98" s="10" t="s">
        <v>15</v>
      </c>
      <c r="F98" s="10" t="s">
        <v>19</v>
      </c>
      <c r="G98" s="10"/>
      <c r="H98" s="10"/>
      <c r="I98" s="18">
        <f>ROUND(reporte!F96*L98/100,0)</f>
        <v>55215</v>
      </c>
      <c r="J98" s="18">
        <f t="shared" si="0"/>
        <v>55215</v>
      </c>
      <c r="L98" s="19">
        <v>71</v>
      </c>
      <c r="O98" s="20">
        <f>reporte!F96</f>
        <v>77767</v>
      </c>
      <c r="P98" s="21">
        <f t="shared" si="1"/>
        <v>0.003532598919311</v>
      </c>
      <c r="Q98" s="20" t="str">
        <f t="shared" si="2"/>
        <v> </v>
      </c>
    </row>
    <row r="99" s="4" customFormat="1" spans="1:17">
      <c r="A99" s="10">
        <v>96</v>
      </c>
      <c r="B99" s="11" t="s">
        <v>16</v>
      </c>
      <c r="C99" s="11" t="s">
        <v>22</v>
      </c>
      <c r="D99" s="10" t="s">
        <v>21</v>
      </c>
      <c r="E99" s="10" t="s">
        <v>15</v>
      </c>
      <c r="F99" s="10" t="s">
        <v>19</v>
      </c>
      <c r="G99" s="10"/>
      <c r="H99" s="10"/>
      <c r="I99" s="18">
        <f>ROUND(reporte!F97*L99/100,0)</f>
        <v>21312</v>
      </c>
      <c r="J99" s="18">
        <f t="shared" si="0"/>
        <v>21312</v>
      </c>
      <c r="L99" s="19">
        <v>74</v>
      </c>
      <c r="O99" s="20">
        <f>reporte!F97</f>
        <v>28800</v>
      </c>
      <c r="P99" s="21">
        <f t="shared" si="1"/>
        <v>0.00130825220049837</v>
      </c>
      <c r="Q99" s="20" t="str">
        <f t="shared" si="2"/>
        <v> </v>
      </c>
    </row>
    <row r="100" s="4" customFormat="1" ht="45" spans="1:17">
      <c r="A100" s="10">
        <v>97</v>
      </c>
      <c r="B100" s="11" t="s">
        <v>12</v>
      </c>
      <c r="C100" s="11" t="s">
        <v>71</v>
      </c>
      <c r="D100" s="10" t="s">
        <v>21</v>
      </c>
      <c r="E100" s="10" t="s">
        <v>15</v>
      </c>
      <c r="F100" s="10" t="s">
        <v>19</v>
      </c>
      <c r="G100" s="10"/>
      <c r="H100" s="10"/>
      <c r="I100" s="18">
        <f>ROUND(reporte!F98*L100/100,0)</f>
        <v>53605</v>
      </c>
      <c r="J100" s="18">
        <f t="shared" si="0"/>
        <v>53605</v>
      </c>
      <c r="L100" s="19">
        <v>76</v>
      </c>
      <c r="O100" s="20">
        <f>reporte!F98</f>
        <v>70533</v>
      </c>
      <c r="P100" s="21">
        <f t="shared" si="1"/>
        <v>0.00320399140478304</v>
      </c>
      <c r="Q100" s="20" t="str">
        <f t="shared" si="2"/>
        <v> </v>
      </c>
    </row>
    <row r="101" s="4" customFormat="1" spans="1:17">
      <c r="A101" s="10">
        <v>98</v>
      </c>
      <c r="B101" s="11" t="s">
        <v>16</v>
      </c>
      <c r="C101" s="11" t="s">
        <v>17</v>
      </c>
      <c r="D101" s="10" t="s">
        <v>21</v>
      </c>
      <c r="E101" s="10" t="s">
        <v>15</v>
      </c>
      <c r="F101" s="10" t="s">
        <v>19</v>
      </c>
      <c r="G101" s="10"/>
      <c r="H101" s="10"/>
      <c r="I101" s="18">
        <f>ROUND(reporte!F99*L101/100,0)</f>
        <v>22613</v>
      </c>
      <c r="J101" s="18">
        <f t="shared" si="0"/>
        <v>22613</v>
      </c>
      <c r="L101" s="19">
        <v>77</v>
      </c>
      <c r="O101" s="20">
        <f>reporte!F99</f>
        <v>29367</v>
      </c>
      <c r="P101" s="21">
        <f t="shared" si="1"/>
        <v>0.00133400841569568</v>
      </c>
      <c r="Q101" s="20" t="str">
        <f t="shared" si="2"/>
        <v> </v>
      </c>
    </row>
    <row r="102" s="4" customFormat="1" ht="45" spans="1:17">
      <c r="A102" s="10">
        <v>99</v>
      </c>
      <c r="B102" s="11" t="s">
        <v>12</v>
      </c>
      <c r="C102" s="11" t="s">
        <v>72</v>
      </c>
      <c r="D102" s="10" t="s">
        <v>21</v>
      </c>
      <c r="E102" s="10" t="s">
        <v>15</v>
      </c>
      <c r="F102" s="10" t="s">
        <v>19</v>
      </c>
      <c r="G102" s="10"/>
      <c r="H102" s="10"/>
      <c r="I102" s="18">
        <f>ROUND(reporte!F100*L102/100,0)</f>
        <v>53504</v>
      </c>
      <c r="J102" s="18">
        <f t="shared" si="0"/>
        <v>53504</v>
      </c>
      <c r="L102" s="19">
        <v>76</v>
      </c>
      <c r="O102" s="20">
        <f>reporte!F100</f>
        <v>70400</v>
      </c>
      <c r="P102" s="21">
        <f t="shared" si="1"/>
        <v>0.00319794982344046</v>
      </c>
      <c r="Q102" s="20" t="str">
        <f t="shared" si="2"/>
        <v> </v>
      </c>
    </row>
    <row r="103" s="4" customFormat="1" spans="1:17">
      <c r="A103" s="10">
        <v>100</v>
      </c>
      <c r="B103" s="11" t="s">
        <v>16</v>
      </c>
      <c r="C103" s="11" t="s">
        <v>17</v>
      </c>
      <c r="D103" s="10" t="s">
        <v>21</v>
      </c>
      <c r="E103" s="10" t="s">
        <v>15</v>
      </c>
      <c r="F103" s="10" t="s">
        <v>19</v>
      </c>
      <c r="G103" s="10"/>
      <c r="H103" s="10"/>
      <c r="I103" s="18">
        <f>ROUND(reporte!F101*L103/100,0)</f>
        <v>21608</v>
      </c>
      <c r="J103" s="18">
        <f t="shared" si="0"/>
        <v>21608</v>
      </c>
      <c r="L103" s="19">
        <v>74</v>
      </c>
      <c r="O103" s="20">
        <f>reporte!F101</f>
        <v>29200</v>
      </c>
      <c r="P103" s="21">
        <f t="shared" si="1"/>
        <v>0.00132642236994974</v>
      </c>
      <c r="Q103" s="20" t="str">
        <f t="shared" si="2"/>
        <v> </v>
      </c>
    </row>
    <row r="104" s="4" customFormat="1" ht="45" spans="1:17">
      <c r="A104" s="10">
        <v>101</v>
      </c>
      <c r="B104" s="11" t="s">
        <v>12</v>
      </c>
      <c r="C104" s="11" t="s">
        <v>73</v>
      </c>
      <c r="D104" s="10" t="s">
        <v>21</v>
      </c>
      <c r="E104" s="10" t="s">
        <v>15</v>
      </c>
      <c r="F104" s="10" t="s">
        <v>19</v>
      </c>
      <c r="G104" s="10"/>
      <c r="H104" s="10"/>
      <c r="I104" s="18">
        <f>ROUND(reporte!F102*L104/100,0)</f>
        <v>44486</v>
      </c>
      <c r="J104" s="18">
        <f t="shared" si="0"/>
        <v>44486</v>
      </c>
      <c r="L104" s="19">
        <v>78</v>
      </c>
      <c r="O104" s="20">
        <f>reporte!F102</f>
        <v>57033</v>
      </c>
      <c r="P104" s="21">
        <f t="shared" si="1"/>
        <v>0.00259074818579943</v>
      </c>
      <c r="Q104" s="20" t="str">
        <f t="shared" si="2"/>
        <v> </v>
      </c>
    </row>
    <row r="105" s="4" customFormat="1" spans="1:17">
      <c r="A105" s="10">
        <v>102</v>
      </c>
      <c r="B105" s="11" t="s">
        <v>16</v>
      </c>
      <c r="C105" s="11" t="s">
        <v>74</v>
      </c>
      <c r="D105" s="10" t="s">
        <v>21</v>
      </c>
      <c r="E105" s="10" t="s">
        <v>15</v>
      </c>
      <c r="F105" s="10" t="s">
        <v>19</v>
      </c>
      <c r="G105" s="10"/>
      <c r="H105" s="10"/>
      <c r="I105" s="18">
        <f>ROUND(reporte!F103*L105/100,0)</f>
        <v>17538</v>
      </c>
      <c r="J105" s="18">
        <f t="shared" si="0"/>
        <v>17538</v>
      </c>
      <c r="L105" s="19">
        <v>79</v>
      </c>
      <c r="O105" s="20">
        <f>reporte!F103</f>
        <v>22200</v>
      </c>
      <c r="P105" s="21">
        <f t="shared" si="1"/>
        <v>0.00100844440455083</v>
      </c>
      <c r="Q105" s="20" t="str">
        <f t="shared" si="2"/>
        <v> </v>
      </c>
    </row>
    <row r="106" s="4" customFormat="1" ht="45" spans="1:17">
      <c r="A106" s="10">
        <v>103</v>
      </c>
      <c r="B106" s="11" t="s">
        <v>12</v>
      </c>
      <c r="C106" s="11" t="s">
        <v>75</v>
      </c>
      <c r="D106" s="10" t="s">
        <v>21</v>
      </c>
      <c r="E106" s="10" t="s">
        <v>15</v>
      </c>
      <c r="F106" s="10" t="s">
        <v>19</v>
      </c>
      <c r="G106" s="10"/>
      <c r="H106" s="10"/>
      <c r="I106" s="18">
        <f>ROUND(reporte!F104*L106/100,0)</f>
        <v>66026</v>
      </c>
      <c r="J106" s="18">
        <f t="shared" si="0"/>
        <v>66026</v>
      </c>
      <c r="L106" s="19">
        <v>80</v>
      </c>
      <c r="O106" s="20">
        <f>reporte!F104</f>
        <v>82533</v>
      </c>
      <c r="P106" s="21">
        <f t="shared" si="1"/>
        <v>0.00374909648832403</v>
      </c>
      <c r="Q106" s="20" t="str">
        <f t="shared" si="2"/>
        <v> </v>
      </c>
    </row>
    <row r="107" s="4" customFormat="1" spans="1:17">
      <c r="A107" s="10">
        <v>104</v>
      </c>
      <c r="B107" s="11" t="s">
        <v>16</v>
      </c>
      <c r="C107" s="11" t="s">
        <v>74</v>
      </c>
      <c r="D107" s="10" t="s">
        <v>21</v>
      </c>
      <c r="E107" s="10" t="s">
        <v>15</v>
      </c>
      <c r="F107" s="10" t="s">
        <v>19</v>
      </c>
      <c r="G107" s="10"/>
      <c r="H107" s="10"/>
      <c r="I107" s="18">
        <f>ROUND(reporte!F105*L107/100,0)</f>
        <v>33483</v>
      </c>
      <c r="J107" s="18">
        <f t="shared" si="0"/>
        <v>33483</v>
      </c>
      <c r="L107" s="19">
        <v>70</v>
      </c>
      <c r="O107" s="20">
        <f>reporte!F105</f>
        <v>47833</v>
      </c>
      <c r="P107" s="21">
        <f t="shared" si="1"/>
        <v>0.00217283428841801</v>
      </c>
      <c r="Q107" s="20" t="str">
        <f t="shared" si="2"/>
        <v> </v>
      </c>
    </row>
    <row r="108" s="4" customFormat="1" ht="45" spans="1:17">
      <c r="A108" s="10">
        <v>105</v>
      </c>
      <c r="B108" s="11" t="s">
        <v>12</v>
      </c>
      <c r="C108" s="11" t="s">
        <v>76</v>
      </c>
      <c r="D108" s="10" t="s">
        <v>21</v>
      </c>
      <c r="E108" s="10" t="s">
        <v>15</v>
      </c>
      <c r="F108" s="10" t="s">
        <v>19</v>
      </c>
      <c r="G108" s="10"/>
      <c r="H108" s="10"/>
      <c r="I108" s="18">
        <f>ROUND(reporte!F106*L108/100,0)</f>
        <v>49104</v>
      </c>
      <c r="J108" s="18">
        <f t="shared" si="0"/>
        <v>49104</v>
      </c>
      <c r="L108" s="19">
        <v>72</v>
      </c>
      <c r="O108" s="20">
        <f>reporte!F106</f>
        <v>68200</v>
      </c>
      <c r="P108" s="21">
        <f t="shared" si="1"/>
        <v>0.00309801389145795</v>
      </c>
      <c r="Q108" s="20" t="str">
        <f t="shared" si="2"/>
        <v> </v>
      </c>
    </row>
    <row r="109" s="4" customFormat="1" spans="1:17">
      <c r="A109" s="10">
        <v>106</v>
      </c>
      <c r="B109" s="11" t="s">
        <v>16</v>
      </c>
      <c r="C109" s="11" t="s">
        <v>74</v>
      </c>
      <c r="D109" s="10" t="s">
        <v>21</v>
      </c>
      <c r="E109" s="10" t="s">
        <v>15</v>
      </c>
      <c r="F109" s="10" t="s">
        <v>19</v>
      </c>
      <c r="G109" s="10"/>
      <c r="H109" s="10"/>
      <c r="I109" s="18">
        <f>ROUND(reporte!F107*L109/100,0)</f>
        <v>22410</v>
      </c>
      <c r="J109" s="18">
        <f t="shared" si="0"/>
        <v>22410</v>
      </c>
      <c r="L109" s="19">
        <v>79</v>
      </c>
      <c r="O109" s="20">
        <f>reporte!F107</f>
        <v>28367</v>
      </c>
      <c r="P109" s="21">
        <f t="shared" si="1"/>
        <v>0.00128858299206727</v>
      </c>
      <c r="Q109" s="20" t="str">
        <f t="shared" si="2"/>
        <v> </v>
      </c>
    </row>
    <row r="110" s="4" customFormat="1" ht="45" spans="1:17">
      <c r="A110" s="10">
        <v>107</v>
      </c>
      <c r="B110" s="11" t="s">
        <v>12</v>
      </c>
      <c r="C110" s="11" t="s">
        <v>77</v>
      </c>
      <c r="D110" s="10" t="s">
        <v>21</v>
      </c>
      <c r="E110" s="10" t="s">
        <v>15</v>
      </c>
      <c r="F110" s="10" t="s">
        <v>19</v>
      </c>
      <c r="G110" s="10"/>
      <c r="H110" s="10"/>
      <c r="I110" s="18">
        <f>ROUND(reporte!F108*L110/100,0)</f>
        <v>41232</v>
      </c>
      <c r="J110" s="18">
        <f t="shared" si="0"/>
        <v>41232</v>
      </c>
      <c r="L110" s="19">
        <v>72</v>
      </c>
      <c r="O110" s="20">
        <f>reporte!F108</f>
        <v>57267</v>
      </c>
      <c r="P110" s="21">
        <f t="shared" si="1"/>
        <v>0.00260137773492848</v>
      </c>
      <c r="Q110" s="20" t="str">
        <f t="shared" si="2"/>
        <v> </v>
      </c>
    </row>
    <row r="111" s="4" customFormat="1" spans="1:17">
      <c r="A111" s="10">
        <v>108</v>
      </c>
      <c r="B111" s="11" t="s">
        <v>16</v>
      </c>
      <c r="C111" s="11" t="s">
        <v>74</v>
      </c>
      <c r="D111" s="10" t="s">
        <v>21</v>
      </c>
      <c r="E111" s="10" t="s">
        <v>15</v>
      </c>
      <c r="F111" s="10" t="s">
        <v>19</v>
      </c>
      <c r="G111" s="10"/>
      <c r="H111" s="10"/>
      <c r="I111" s="18">
        <f>ROUND(reporte!F109*L111/100,0)</f>
        <v>16650</v>
      </c>
      <c r="J111" s="18">
        <f t="shared" si="0"/>
        <v>16650</v>
      </c>
      <c r="L111" s="19">
        <v>75</v>
      </c>
      <c r="O111" s="20">
        <f>reporte!F109</f>
        <v>22200</v>
      </c>
      <c r="P111" s="21">
        <f t="shared" si="1"/>
        <v>0.00100844440455083</v>
      </c>
      <c r="Q111" s="20" t="str">
        <f t="shared" si="2"/>
        <v> </v>
      </c>
    </row>
    <row r="112" s="4" customFormat="1" ht="45" spans="1:17">
      <c r="A112" s="10">
        <v>109</v>
      </c>
      <c r="B112" s="11" t="s">
        <v>12</v>
      </c>
      <c r="C112" s="11" t="s">
        <v>78</v>
      </c>
      <c r="D112" s="10" t="s">
        <v>21</v>
      </c>
      <c r="E112" s="10" t="s">
        <v>15</v>
      </c>
      <c r="F112" s="10" t="s">
        <v>19</v>
      </c>
      <c r="G112" s="10"/>
      <c r="H112" s="10"/>
      <c r="I112" s="18">
        <f>ROUND(reporte!F110*L112/100,0)</f>
        <v>92613</v>
      </c>
      <c r="J112" s="18">
        <f t="shared" si="0"/>
        <v>92613</v>
      </c>
      <c r="L112" s="19">
        <v>73</v>
      </c>
      <c r="O112" s="20">
        <f>reporte!F110</f>
        <v>126867</v>
      </c>
      <c r="P112" s="21">
        <f t="shared" si="1"/>
        <v>0.00576298721946621</v>
      </c>
      <c r="Q112" s="20" t="str">
        <f t="shared" si="2"/>
        <v> </v>
      </c>
    </row>
    <row r="113" s="4" customFormat="1" spans="1:17">
      <c r="A113" s="10">
        <v>110</v>
      </c>
      <c r="B113" s="11" t="s">
        <v>16</v>
      </c>
      <c r="C113" s="11" t="s">
        <v>17</v>
      </c>
      <c r="D113" s="10" t="s">
        <v>21</v>
      </c>
      <c r="E113" s="10" t="s">
        <v>15</v>
      </c>
      <c r="F113" s="10" t="s">
        <v>19</v>
      </c>
      <c r="G113" s="10"/>
      <c r="H113" s="10"/>
      <c r="I113" s="18">
        <f>ROUND(reporte!F111*L113/100,0)</f>
        <v>53156</v>
      </c>
      <c r="J113" s="18">
        <f t="shared" si="0"/>
        <v>53156</v>
      </c>
      <c r="L113" s="19">
        <v>74</v>
      </c>
      <c r="O113" s="20">
        <f>reporte!F111</f>
        <v>71833</v>
      </c>
      <c r="P113" s="21">
        <f t="shared" si="1"/>
        <v>0.00326304445549998</v>
      </c>
      <c r="Q113" s="20" t="str">
        <f t="shared" si="2"/>
        <v> </v>
      </c>
    </row>
    <row r="114" s="4" customFormat="1" ht="45" spans="1:17">
      <c r="A114" s="10">
        <v>111</v>
      </c>
      <c r="B114" s="11" t="s">
        <v>12</v>
      </c>
      <c r="C114" s="11" t="s">
        <v>79</v>
      </c>
      <c r="D114" s="10" t="s">
        <v>21</v>
      </c>
      <c r="E114" s="10" t="s">
        <v>15</v>
      </c>
      <c r="F114" s="10" t="s">
        <v>19</v>
      </c>
      <c r="G114" s="10"/>
      <c r="H114" s="10"/>
      <c r="I114" s="18">
        <f>ROUND(reporte!F112*L114/100,0)</f>
        <v>55066</v>
      </c>
      <c r="J114" s="18">
        <f t="shared" si="0"/>
        <v>55066</v>
      </c>
      <c r="L114" s="19">
        <v>73</v>
      </c>
      <c r="O114" s="20">
        <f>reporte!F112</f>
        <v>75433</v>
      </c>
      <c r="P114" s="21">
        <f t="shared" si="1"/>
        <v>0.00342657598056228</v>
      </c>
      <c r="Q114" s="20" t="str">
        <f t="shared" si="2"/>
        <v> </v>
      </c>
    </row>
    <row r="115" s="4" customFormat="1" spans="1:17">
      <c r="A115" s="10">
        <v>112</v>
      </c>
      <c r="B115" s="11" t="s">
        <v>16</v>
      </c>
      <c r="C115" s="11" t="s">
        <v>74</v>
      </c>
      <c r="D115" s="10" t="s">
        <v>21</v>
      </c>
      <c r="E115" s="10" t="s">
        <v>15</v>
      </c>
      <c r="F115" s="10" t="s">
        <v>19</v>
      </c>
      <c r="G115" s="10"/>
      <c r="H115" s="10"/>
      <c r="I115" s="18">
        <f>ROUND(reporte!F113*L115/100,0)</f>
        <v>26320</v>
      </c>
      <c r="J115" s="18">
        <f t="shared" si="0"/>
        <v>26320</v>
      </c>
      <c r="L115" s="19">
        <v>80</v>
      </c>
      <c r="O115" s="20">
        <f>reporte!F113</f>
        <v>32900</v>
      </c>
      <c r="P115" s="21">
        <f t="shared" si="1"/>
        <v>0.00149449643737488</v>
      </c>
      <c r="Q115" s="20" t="str">
        <f t="shared" si="2"/>
        <v> </v>
      </c>
    </row>
    <row r="116" s="4" customFormat="1" ht="45" spans="1:17">
      <c r="A116" s="10">
        <v>113</v>
      </c>
      <c r="B116" s="11" t="s">
        <v>12</v>
      </c>
      <c r="C116" s="11" t="s">
        <v>80</v>
      </c>
      <c r="D116" s="10" t="s">
        <v>21</v>
      </c>
      <c r="E116" s="10" t="s">
        <v>15</v>
      </c>
      <c r="F116" s="10" t="s">
        <v>19</v>
      </c>
      <c r="G116" s="10"/>
      <c r="H116" s="10"/>
      <c r="I116" s="18">
        <f>ROUND(reporte!F114*L116/100,0)</f>
        <v>89128</v>
      </c>
      <c r="J116" s="18">
        <f t="shared" si="0"/>
        <v>89128</v>
      </c>
      <c r="L116" s="19">
        <v>71</v>
      </c>
      <c r="O116" s="20">
        <f>reporte!F114</f>
        <v>125533</v>
      </c>
      <c r="P116" s="21">
        <f t="shared" si="1"/>
        <v>0.0057023897043459</v>
      </c>
      <c r="Q116" s="20" t="str">
        <f t="shared" si="2"/>
        <v> </v>
      </c>
    </row>
    <row r="117" s="4" customFormat="1" spans="1:17">
      <c r="A117" s="10">
        <v>114</v>
      </c>
      <c r="B117" s="11" t="s">
        <v>16</v>
      </c>
      <c r="C117" s="11" t="s">
        <v>17</v>
      </c>
      <c r="D117" s="10" t="s">
        <v>21</v>
      </c>
      <c r="E117" s="10" t="s">
        <v>15</v>
      </c>
      <c r="F117" s="10" t="s">
        <v>19</v>
      </c>
      <c r="G117" s="10"/>
      <c r="H117" s="10"/>
      <c r="I117" s="18">
        <f>ROUND(reporte!F115*L117/100,0)</f>
        <v>34301</v>
      </c>
      <c r="J117" s="18">
        <f t="shared" si="0"/>
        <v>34301</v>
      </c>
      <c r="L117" s="19">
        <v>76</v>
      </c>
      <c r="O117" s="20">
        <f>reporte!F115</f>
        <v>45133</v>
      </c>
      <c r="P117" s="21">
        <f t="shared" si="1"/>
        <v>0.00205018564462128</v>
      </c>
      <c r="Q117" s="20" t="str">
        <f t="shared" si="2"/>
        <v> </v>
      </c>
    </row>
    <row r="118" s="4" customFormat="1" ht="45" spans="1:17">
      <c r="A118" s="10">
        <v>115</v>
      </c>
      <c r="B118" s="11" t="s">
        <v>12</v>
      </c>
      <c r="C118" s="11" t="s">
        <v>81</v>
      </c>
      <c r="D118" s="10" t="s">
        <v>21</v>
      </c>
      <c r="E118" s="10" t="s">
        <v>15</v>
      </c>
      <c r="F118" s="10" t="s">
        <v>19</v>
      </c>
      <c r="G118" s="10"/>
      <c r="H118" s="10"/>
      <c r="I118" s="18">
        <f>ROUND(reporte!F116*L118/100,0)</f>
        <v>52560</v>
      </c>
      <c r="J118" s="18">
        <f t="shared" si="0"/>
        <v>52560</v>
      </c>
      <c r="L118" s="19">
        <v>72</v>
      </c>
      <c r="O118" s="20">
        <f>reporte!F116</f>
        <v>73000</v>
      </c>
      <c r="P118" s="21">
        <f t="shared" si="1"/>
        <v>0.00331605592487434</v>
      </c>
      <c r="Q118" s="20" t="str">
        <f t="shared" si="2"/>
        <v> </v>
      </c>
    </row>
    <row r="119" s="4" customFormat="1" spans="1:17">
      <c r="A119" s="10">
        <v>116</v>
      </c>
      <c r="B119" s="11" t="s">
        <v>16</v>
      </c>
      <c r="C119" s="11" t="s">
        <v>74</v>
      </c>
      <c r="D119" s="10" t="s">
        <v>21</v>
      </c>
      <c r="E119" s="10" t="s">
        <v>15</v>
      </c>
      <c r="F119" s="10" t="s">
        <v>19</v>
      </c>
      <c r="G119" s="10"/>
      <c r="H119" s="10"/>
      <c r="I119" s="18">
        <f>ROUND(reporte!F117*L119/100,0)</f>
        <v>21467</v>
      </c>
      <c r="J119" s="18">
        <f t="shared" si="0"/>
        <v>21467</v>
      </c>
      <c r="L119" s="19">
        <v>70</v>
      </c>
      <c r="O119" s="20">
        <f>reporte!F117</f>
        <v>30667</v>
      </c>
      <c r="P119" s="21">
        <f t="shared" si="1"/>
        <v>0.00139306146641262</v>
      </c>
      <c r="Q119" s="20" t="str">
        <f t="shared" si="2"/>
        <v> </v>
      </c>
    </row>
    <row r="120" s="4" customFormat="1" ht="45" spans="1:17">
      <c r="A120" s="10">
        <v>117</v>
      </c>
      <c r="B120" s="11" t="s">
        <v>12</v>
      </c>
      <c r="C120" s="11" t="s">
        <v>82</v>
      </c>
      <c r="D120" s="10" t="s">
        <v>21</v>
      </c>
      <c r="E120" s="10" t="s">
        <v>15</v>
      </c>
      <c r="F120" s="10" t="s">
        <v>19</v>
      </c>
      <c r="G120" s="10"/>
      <c r="H120" s="10"/>
      <c r="I120" s="18">
        <f>ROUND(reporte!F118*L120/100,0)</f>
        <v>97625</v>
      </c>
      <c r="J120" s="18">
        <f t="shared" si="0"/>
        <v>97625</v>
      </c>
      <c r="L120" s="19">
        <v>75</v>
      </c>
      <c r="O120" s="20">
        <f>reporte!F118</f>
        <v>130167</v>
      </c>
      <c r="P120" s="21">
        <f t="shared" si="1"/>
        <v>0.00591289111743998</v>
      </c>
      <c r="Q120" s="20" t="str">
        <f t="shared" si="2"/>
        <v> </v>
      </c>
    </row>
    <row r="121" s="4" customFormat="1" spans="1:17">
      <c r="A121" s="10">
        <v>118</v>
      </c>
      <c r="B121" s="11" t="s">
        <v>16</v>
      </c>
      <c r="C121" s="11" t="s">
        <v>74</v>
      </c>
      <c r="D121" s="10" t="s">
        <v>21</v>
      </c>
      <c r="E121" s="10" t="s">
        <v>15</v>
      </c>
      <c r="F121" s="10" t="s">
        <v>19</v>
      </c>
      <c r="G121" s="10"/>
      <c r="H121" s="10"/>
      <c r="I121" s="18">
        <f>ROUND(reporte!F119*L121/100,0)</f>
        <v>38560</v>
      </c>
      <c r="J121" s="18">
        <f t="shared" si="0"/>
        <v>38560</v>
      </c>
      <c r="L121" s="19">
        <v>80</v>
      </c>
      <c r="O121" s="20">
        <f>reporte!F119</f>
        <v>48200</v>
      </c>
      <c r="P121" s="21">
        <f t="shared" si="1"/>
        <v>0.00218950541888964</v>
      </c>
      <c r="Q121" s="20" t="str">
        <f t="shared" si="2"/>
        <v> </v>
      </c>
    </row>
    <row r="122" s="4" customFormat="1" ht="45" spans="1:17">
      <c r="A122" s="10">
        <v>119</v>
      </c>
      <c r="B122" s="11" t="s">
        <v>12</v>
      </c>
      <c r="C122" s="11" t="s">
        <v>83</v>
      </c>
      <c r="D122" s="10" t="s">
        <v>21</v>
      </c>
      <c r="E122" s="10" t="s">
        <v>15</v>
      </c>
      <c r="F122" s="10" t="s">
        <v>19</v>
      </c>
      <c r="G122" s="10"/>
      <c r="H122" s="10"/>
      <c r="I122" s="18">
        <f>ROUND(reporte!F120*L122/100,0)</f>
        <v>51307</v>
      </c>
      <c r="J122" s="18">
        <f t="shared" si="0"/>
        <v>51307</v>
      </c>
      <c r="L122" s="22">
        <v>20</v>
      </c>
      <c r="O122" s="20">
        <f>reporte!F120</f>
        <v>256533</v>
      </c>
      <c r="P122" s="21">
        <f t="shared" si="1"/>
        <v>0.0116531201996684</v>
      </c>
      <c r="Q122" s="20" t="str">
        <f t="shared" si="2"/>
        <v>ALTO</v>
      </c>
    </row>
    <row r="123" s="4" customFormat="1" spans="1:17">
      <c r="A123" s="10">
        <v>120</v>
      </c>
      <c r="B123" s="11" t="s">
        <v>16</v>
      </c>
      <c r="C123" s="11" t="s">
        <v>17</v>
      </c>
      <c r="D123" s="10" t="s">
        <v>21</v>
      </c>
      <c r="E123" s="10" t="s">
        <v>15</v>
      </c>
      <c r="F123" s="10" t="s">
        <v>19</v>
      </c>
      <c r="G123" s="10"/>
      <c r="H123" s="10"/>
      <c r="I123" s="18">
        <f>ROUND(reporte!F121*L123/100,0)</f>
        <v>53222</v>
      </c>
      <c r="J123" s="18">
        <f t="shared" si="0"/>
        <v>53222</v>
      </c>
      <c r="L123" s="19">
        <v>78</v>
      </c>
      <c r="O123" s="20">
        <f>reporte!F121</f>
        <v>68233</v>
      </c>
      <c r="P123" s="21">
        <f t="shared" si="1"/>
        <v>0.00309951293043769</v>
      </c>
      <c r="Q123" s="20" t="str">
        <f t="shared" si="2"/>
        <v> </v>
      </c>
    </row>
    <row r="124" s="4" customFormat="1" ht="30" spans="1:17">
      <c r="A124" s="10">
        <v>121</v>
      </c>
      <c r="B124" s="11" t="s">
        <v>12</v>
      </c>
      <c r="C124" s="11" t="s">
        <v>84</v>
      </c>
      <c r="D124" s="10" t="s">
        <v>42</v>
      </c>
      <c r="E124" s="10" t="s">
        <v>15</v>
      </c>
      <c r="F124" s="10" t="s">
        <v>19</v>
      </c>
      <c r="G124" s="10"/>
      <c r="H124" s="10"/>
      <c r="I124" s="18">
        <f>ROUND(reporte!F122*L124/100,0)</f>
        <v>99294</v>
      </c>
      <c r="J124" s="18">
        <f t="shared" si="0"/>
        <v>99294</v>
      </c>
      <c r="L124" s="19">
        <v>78</v>
      </c>
      <c r="O124" s="20">
        <f>reporte!F122</f>
        <v>127300</v>
      </c>
      <c r="P124" s="21">
        <f t="shared" si="1"/>
        <v>0.00578265642789732</v>
      </c>
      <c r="Q124" s="20" t="str">
        <f t="shared" si="2"/>
        <v> </v>
      </c>
    </row>
    <row r="125" s="4" customFormat="1" spans="1:17">
      <c r="A125" s="10">
        <v>122</v>
      </c>
      <c r="B125" s="11" t="s">
        <v>16</v>
      </c>
      <c r="C125" s="11" t="s">
        <v>74</v>
      </c>
      <c r="D125" s="10" t="s">
        <v>21</v>
      </c>
      <c r="E125" s="10" t="s">
        <v>15</v>
      </c>
      <c r="F125" s="10" t="s">
        <v>19</v>
      </c>
      <c r="G125" s="10"/>
      <c r="H125" s="10"/>
      <c r="I125" s="18">
        <f>ROUND(reporte!F123*L125/100,0)</f>
        <v>30000</v>
      </c>
      <c r="J125" s="18">
        <f t="shared" si="0"/>
        <v>30000</v>
      </c>
      <c r="L125" s="19">
        <v>72</v>
      </c>
      <c r="O125" s="20">
        <f>reporte!F123</f>
        <v>41667</v>
      </c>
      <c r="P125" s="21">
        <f t="shared" si="1"/>
        <v>0.0018927411263252</v>
      </c>
      <c r="Q125" s="20" t="str">
        <f t="shared" si="2"/>
        <v> </v>
      </c>
    </row>
    <row r="126" s="4" customFormat="1" ht="30" spans="1:17">
      <c r="A126" s="10">
        <v>123</v>
      </c>
      <c r="B126" s="11" t="s">
        <v>12</v>
      </c>
      <c r="C126" s="11" t="s">
        <v>85</v>
      </c>
      <c r="D126" s="10" t="s">
        <v>21</v>
      </c>
      <c r="E126" s="10" t="s">
        <v>15</v>
      </c>
      <c r="F126" s="10" t="s">
        <v>19</v>
      </c>
      <c r="G126" s="10"/>
      <c r="H126" s="10"/>
      <c r="I126" s="18">
        <f>ROUND(reporte!F124*L126/100,0)</f>
        <v>80197</v>
      </c>
      <c r="J126" s="18">
        <f t="shared" si="0"/>
        <v>80197</v>
      </c>
      <c r="L126" s="19">
        <v>70</v>
      </c>
      <c r="O126" s="20">
        <f>reporte!F124</f>
        <v>114567</v>
      </c>
      <c r="P126" s="21">
        <f t="shared" si="1"/>
        <v>0.0052042545088367</v>
      </c>
      <c r="Q126" s="20" t="str">
        <f t="shared" si="2"/>
        <v> </v>
      </c>
    </row>
    <row r="127" s="4" customFormat="1" spans="1:17">
      <c r="A127" s="10">
        <v>124</v>
      </c>
      <c r="B127" s="11" t="s">
        <v>16</v>
      </c>
      <c r="C127" s="11" t="s">
        <v>74</v>
      </c>
      <c r="D127" s="10" t="s">
        <v>21</v>
      </c>
      <c r="E127" s="10" t="s">
        <v>15</v>
      </c>
      <c r="F127" s="10" t="s">
        <v>19</v>
      </c>
      <c r="G127" s="10"/>
      <c r="H127" s="10"/>
      <c r="I127" s="18">
        <f>ROUND(reporte!F125*L127/100,0)</f>
        <v>13113</v>
      </c>
      <c r="J127" s="18">
        <f t="shared" si="0"/>
        <v>13113</v>
      </c>
      <c r="L127" s="19">
        <v>70</v>
      </c>
      <c r="O127" s="20">
        <f>reporte!F125</f>
        <v>18733</v>
      </c>
      <c r="P127" s="21">
        <f t="shared" si="1"/>
        <v>0.000850954460831111</v>
      </c>
      <c r="Q127" s="20" t="str">
        <f t="shared" si="2"/>
        <v> </v>
      </c>
    </row>
    <row r="128" s="4" customFormat="1" ht="30" spans="1:17">
      <c r="A128" s="10">
        <v>125</v>
      </c>
      <c r="B128" s="11" t="s">
        <v>12</v>
      </c>
      <c r="C128" s="11" t="s">
        <v>86</v>
      </c>
      <c r="D128" s="10" t="s">
        <v>21</v>
      </c>
      <c r="E128" s="10" t="s">
        <v>15</v>
      </c>
      <c r="F128" s="10" t="s">
        <v>19</v>
      </c>
      <c r="G128" s="10"/>
      <c r="H128" s="10"/>
      <c r="I128" s="18">
        <f>ROUND(reporte!F126*L128/100,0)</f>
        <v>104134</v>
      </c>
      <c r="J128" s="18">
        <f t="shared" si="0"/>
        <v>104134</v>
      </c>
      <c r="L128" s="19">
        <v>80</v>
      </c>
      <c r="O128" s="20">
        <f>reporte!F126</f>
        <v>130167</v>
      </c>
      <c r="P128" s="21">
        <f t="shared" si="1"/>
        <v>0.00591289111743998</v>
      </c>
      <c r="Q128" s="20" t="str">
        <f t="shared" si="2"/>
        <v> </v>
      </c>
    </row>
    <row r="129" s="4" customFormat="1" spans="1:17">
      <c r="A129" s="10">
        <v>126</v>
      </c>
      <c r="B129" s="11" t="s">
        <v>16</v>
      </c>
      <c r="C129" s="11" t="s">
        <v>74</v>
      </c>
      <c r="D129" s="10" t="s">
        <v>21</v>
      </c>
      <c r="E129" s="10" t="s">
        <v>15</v>
      </c>
      <c r="F129" s="10" t="s">
        <v>19</v>
      </c>
      <c r="G129" s="10"/>
      <c r="H129" s="10"/>
      <c r="I129" s="18">
        <f>ROUND(reporte!F127*L129/100,0)</f>
        <v>34419</v>
      </c>
      <c r="J129" s="18">
        <f t="shared" si="0"/>
        <v>34419</v>
      </c>
      <c r="L129" s="19">
        <v>77</v>
      </c>
      <c r="O129" s="20">
        <f>reporte!F127</f>
        <v>44700</v>
      </c>
      <c r="P129" s="21">
        <f t="shared" si="1"/>
        <v>0.00203051643619018</v>
      </c>
      <c r="Q129" s="20" t="str">
        <f t="shared" si="2"/>
        <v> </v>
      </c>
    </row>
    <row r="130" s="4" customFormat="1" ht="30" spans="1:17">
      <c r="A130" s="10">
        <v>127</v>
      </c>
      <c r="B130" s="11" t="s">
        <v>12</v>
      </c>
      <c r="C130" s="11" t="s">
        <v>87</v>
      </c>
      <c r="D130" s="10" t="s">
        <v>21</v>
      </c>
      <c r="E130" s="10" t="s">
        <v>15</v>
      </c>
      <c r="F130" s="10" t="s">
        <v>19</v>
      </c>
      <c r="G130" s="10"/>
      <c r="H130" s="10"/>
      <c r="I130" s="18">
        <f>ROUND(reporte!F128*L130/100,0)</f>
        <v>298800</v>
      </c>
      <c r="J130" s="18">
        <f t="shared" si="0"/>
        <v>298800</v>
      </c>
      <c r="L130" s="22">
        <v>20</v>
      </c>
      <c r="O130" s="20">
        <f>reporte!F128</f>
        <v>1494000</v>
      </c>
      <c r="P130" s="21">
        <f t="shared" si="1"/>
        <v>0.067865582900853</v>
      </c>
      <c r="Q130" s="20" t="str">
        <f t="shared" si="2"/>
        <v>ALTO</v>
      </c>
    </row>
    <row r="131" s="4" customFormat="1" spans="1:17">
      <c r="A131" s="10">
        <v>128</v>
      </c>
      <c r="B131" s="11" t="s">
        <v>16</v>
      </c>
      <c r="C131" s="11" t="s">
        <v>74</v>
      </c>
      <c r="D131" s="10" t="s">
        <v>21</v>
      </c>
      <c r="E131" s="10" t="s">
        <v>15</v>
      </c>
      <c r="F131" s="10" t="s">
        <v>19</v>
      </c>
      <c r="G131" s="10"/>
      <c r="H131" s="10"/>
      <c r="I131" s="18">
        <f>ROUND(reporte!F129*L131/100,0)</f>
        <v>108904</v>
      </c>
      <c r="J131" s="18">
        <f t="shared" si="0"/>
        <v>108904</v>
      </c>
      <c r="L131" s="19">
        <v>74</v>
      </c>
      <c r="O131" s="20">
        <f>reporte!F129</f>
        <v>147167</v>
      </c>
      <c r="P131" s="21">
        <f t="shared" si="1"/>
        <v>0.00668512331912305</v>
      </c>
      <c r="Q131" s="20" t="str">
        <f t="shared" si="2"/>
        <v> </v>
      </c>
    </row>
    <row r="132" s="4" customFormat="1" ht="30" spans="1:17">
      <c r="A132" s="10">
        <v>129</v>
      </c>
      <c r="B132" s="11" t="s">
        <v>12</v>
      </c>
      <c r="C132" s="11" t="s">
        <v>88</v>
      </c>
      <c r="D132" s="10" t="s">
        <v>21</v>
      </c>
      <c r="E132" s="10" t="s">
        <v>15</v>
      </c>
      <c r="F132" s="10" t="s">
        <v>19</v>
      </c>
      <c r="G132" s="10"/>
      <c r="H132" s="10"/>
      <c r="I132" s="18">
        <f>ROUND(reporte!F130*L132/100,0)</f>
        <v>105270</v>
      </c>
      <c r="J132" s="18">
        <f t="shared" si="0"/>
        <v>105270</v>
      </c>
      <c r="L132" s="19">
        <v>71</v>
      </c>
      <c r="O132" s="20">
        <f>reporte!F130</f>
        <v>148267</v>
      </c>
      <c r="P132" s="21">
        <f t="shared" si="1"/>
        <v>0.00673509128511431</v>
      </c>
      <c r="Q132" s="20" t="str">
        <f t="shared" si="2"/>
        <v> </v>
      </c>
    </row>
    <row r="133" s="4" customFormat="1" spans="1:17">
      <c r="A133" s="10">
        <v>130</v>
      </c>
      <c r="B133" s="11" t="s">
        <v>16</v>
      </c>
      <c r="C133" s="11" t="s">
        <v>74</v>
      </c>
      <c r="D133" s="10" t="s">
        <v>21</v>
      </c>
      <c r="E133" s="10" t="s">
        <v>15</v>
      </c>
      <c r="F133" s="10" t="s">
        <v>19</v>
      </c>
      <c r="G133" s="10"/>
      <c r="H133" s="10"/>
      <c r="I133" s="18">
        <f>ROUND(reporte!F131*L133/100,0)</f>
        <v>54864</v>
      </c>
      <c r="J133" s="18">
        <f t="shared" si="0"/>
        <v>54864</v>
      </c>
      <c r="L133" s="19">
        <v>72</v>
      </c>
      <c r="O133" s="20">
        <f>reporte!F131</f>
        <v>76200</v>
      </c>
      <c r="P133" s="21">
        <f t="shared" si="1"/>
        <v>0.00346141728048527</v>
      </c>
      <c r="Q133" s="20" t="str">
        <f t="shared" si="2"/>
        <v> </v>
      </c>
    </row>
    <row r="134" s="4" customFormat="1" ht="30" spans="1:17">
      <c r="A134" s="10">
        <v>131</v>
      </c>
      <c r="B134" s="11" t="s">
        <v>12</v>
      </c>
      <c r="C134" s="11" t="s">
        <v>89</v>
      </c>
      <c r="D134" s="10" t="s">
        <v>21</v>
      </c>
      <c r="E134" s="10" t="s">
        <v>15</v>
      </c>
      <c r="F134" s="10" t="s">
        <v>19</v>
      </c>
      <c r="G134" s="10"/>
      <c r="H134" s="10"/>
      <c r="I134" s="18">
        <f>ROUND(reporte!F132*L134/100,0)</f>
        <v>52896</v>
      </c>
      <c r="J134" s="18">
        <f t="shared" si="0"/>
        <v>52896</v>
      </c>
      <c r="L134" s="19">
        <v>76</v>
      </c>
      <c r="O134" s="20">
        <f>reporte!F132</f>
        <v>69600</v>
      </c>
      <c r="P134" s="21">
        <f t="shared" si="1"/>
        <v>0.00316160948453773</v>
      </c>
      <c r="Q134" s="20" t="str">
        <f t="shared" si="2"/>
        <v> </v>
      </c>
    </row>
    <row r="135" s="4" customFormat="1" spans="1:17">
      <c r="A135" s="10">
        <v>132</v>
      </c>
      <c r="B135" s="11" t="s">
        <v>16</v>
      </c>
      <c r="C135" s="11" t="s">
        <v>74</v>
      </c>
      <c r="D135" s="10" t="s">
        <v>21</v>
      </c>
      <c r="E135" s="10" t="s">
        <v>15</v>
      </c>
      <c r="F135" s="10" t="s">
        <v>19</v>
      </c>
      <c r="G135" s="10"/>
      <c r="H135" s="10"/>
      <c r="I135" s="18">
        <f>ROUND(reporte!F133*L135/100,0)</f>
        <v>25200</v>
      </c>
      <c r="J135" s="18">
        <f t="shared" si="0"/>
        <v>25200</v>
      </c>
      <c r="L135" s="19">
        <v>72</v>
      </c>
      <c r="O135" s="20">
        <f>reporte!F133</f>
        <v>35000</v>
      </c>
      <c r="P135" s="21">
        <f t="shared" si="1"/>
        <v>0.00158988982699455</v>
      </c>
      <c r="Q135" s="20" t="str">
        <f t="shared" si="2"/>
        <v> </v>
      </c>
    </row>
    <row r="136" s="4" customFormat="1" ht="30" spans="1:17">
      <c r="A136" s="10">
        <v>133</v>
      </c>
      <c r="B136" s="11" t="s">
        <v>12</v>
      </c>
      <c r="C136" s="11" t="s">
        <v>90</v>
      </c>
      <c r="D136" s="10" t="s">
        <v>21</v>
      </c>
      <c r="E136" s="10" t="s">
        <v>15</v>
      </c>
      <c r="F136" s="10" t="s">
        <v>19</v>
      </c>
      <c r="G136" s="10"/>
      <c r="H136" s="10"/>
      <c r="I136" s="18">
        <f>ROUND(reporte!F134*L136/100,0)</f>
        <v>65249</v>
      </c>
      <c r="J136" s="18">
        <f t="shared" si="0"/>
        <v>65249</v>
      </c>
      <c r="L136" s="19">
        <v>71</v>
      </c>
      <c r="O136" s="20">
        <f>reporte!F134</f>
        <v>91900</v>
      </c>
      <c r="P136" s="21">
        <f t="shared" si="1"/>
        <v>0.0041745964314514</v>
      </c>
      <c r="Q136" s="20" t="str">
        <f t="shared" si="2"/>
        <v> </v>
      </c>
    </row>
    <row r="137" s="4" customFormat="1" spans="1:17">
      <c r="A137" s="10">
        <v>134</v>
      </c>
      <c r="B137" s="11" t="s">
        <v>16</v>
      </c>
      <c r="C137" s="11" t="s">
        <v>74</v>
      </c>
      <c r="D137" s="10" t="s">
        <v>21</v>
      </c>
      <c r="E137" s="10" t="s">
        <v>15</v>
      </c>
      <c r="F137" s="10" t="s">
        <v>19</v>
      </c>
      <c r="G137" s="10"/>
      <c r="H137" s="10"/>
      <c r="I137" s="18">
        <f>ROUND(reporte!F135*L137/100,0)</f>
        <v>38962</v>
      </c>
      <c r="J137" s="18">
        <f t="shared" si="0"/>
        <v>38962</v>
      </c>
      <c r="L137" s="19">
        <v>77</v>
      </c>
      <c r="O137" s="20">
        <f>reporte!F135</f>
        <v>50600</v>
      </c>
      <c r="P137" s="21">
        <f t="shared" si="1"/>
        <v>0.00229852643559783</v>
      </c>
      <c r="Q137" s="20" t="str">
        <f t="shared" si="2"/>
        <v> </v>
      </c>
    </row>
    <row r="138" s="4" customFormat="1" ht="30" spans="1:17">
      <c r="A138" s="10">
        <v>135</v>
      </c>
      <c r="B138" s="11" t="s">
        <v>12</v>
      </c>
      <c r="C138" s="11" t="s">
        <v>91</v>
      </c>
      <c r="D138" s="10" t="s">
        <v>21</v>
      </c>
      <c r="E138" s="10" t="s">
        <v>15</v>
      </c>
      <c r="F138" s="10" t="s">
        <v>19</v>
      </c>
      <c r="G138" s="10"/>
      <c r="H138" s="10"/>
      <c r="I138" s="18">
        <f>ROUND(reporte!F136*L138/100,0)</f>
        <v>62826</v>
      </c>
      <c r="J138" s="18">
        <f t="shared" si="0"/>
        <v>62826</v>
      </c>
      <c r="L138" s="19">
        <v>80</v>
      </c>
      <c r="O138" s="20">
        <f>reporte!F136</f>
        <v>78533</v>
      </c>
      <c r="P138" s="21">
        <f t="shared" si="1"/>
        <v>0.00356739479381037</v>
      </c>
      <c r="Q138" s="20" t="str">
        <f t="shared" si="2"/>
        <v> </v>
      </c>
    </row>
    <row r="139" s="4" customFormat="1" spans="1:17">
      <c r="A139" s="10">
        <v>136</v>
      </c>
      <c r="B139" s="11" t="s">
        <v>16</v>
      </c>
      <c r="C139" s="11" t="s">
        <v>17</v>
      </c>
      <c r="D139" s="10" t="s">
        <v>21</v>
      </c>
      <c r="E139" s="10" t="s">
        <v>15</v>
      </c>
      <c r="F139" s="10" t="s">
        <v>19</v>
      </c>
      <c r="G139" s="10"/>
      <c r="H139" s="10"/>
      <c r="I139" s="18">
        <f>ROUND(reporte!F137*L139/100,0)</f>
        <v>23068</v>
      </c>
      <c r="J139" s="18">
        <f t="shared" si="0"/>
        <v>23068</v>
      </c>
      <c r="L139" s="19">
        <v>79</v>
      </c>
      <c r="O139" s="20">
        <f>reporte!F137</f>
        <v>29200</v>
      </c>
      <c r="P139" s="21">
        <f t="shared" si="1"/>
        <v>0.00132642236994974</v>
      </c>
      <c r="Q139" s="20" t="str">
        <f t="shared" si="2"/>
        <v> </v>
      </c>
    </row>
    <row r="140" s="4" customFormat="1" ht="30" spans="1:17">
      <c r="A140" s="10">
        <v>137</v>
      </c>
      <c r="B140" s="11" t="s">
        <v>12</v>
      </c>
      <c r="C140" s="11" t="s">
        <v>92</v>
      </c>
      <c r="D140" s="10" t="s">
        <v>21</v>
      </c>
      <c r="E140" s="10" t="s">
        <v>15</v>
      </c>
      <c r="F140" s="10" t="s">
        <v>19</v>
      </c>
      <c r="G140" s="10"/>
      <c r="H140" s="10"/>
      <c r="I140" s="18">
        <f>ROUND(reporte!F138*L140/100,0)</f>
        <v>54188</v>
      </c>
      <c r="J140" s="18">
        <f t="shared" si="0"/>
        <v>54188</v>
      </c>
      <c r="L140" s="19">
        <v>76</v>
      </c>
      <c r="O140" s="20">
        <f>reporte!F138</f>
        <v>71300</v>
      </c>
      <c r="P140" s="21">
        <f t="shared" si="1"/>
        <v>0.00323883270470604</v>
      </c>
      <c r="Q140" s="20" t="str">
        <f t="shared" si="2"/>
        <v> </v>
      </c>
    </row>
    <row r="141" s="4" customFormat="1" spans="1:17">
      <c r="A141" s="10">
        <v>138</v>
      </c>
      <c r="B141" s="11" t="s">
        <v>16</v>
      </c>
      <c r="C141" s="11" t="s">
        <v>74</v>
      </c>
      <c r="D141" s="10" t="s">
        <v>21</v>
      </c>
      <c r="E141" s="10" t="s">
        <v>15</v>
      </c>
      <c r="F141" s="10" t="s">
        <v>19</v>
      </c>
      <c r="G141" s="10"/>
      <c r="H141" s="10"/>
      <c r="I141" s="18">
        <f>ROUND(reporte!F139*L141/100,0)</f>
        <v>22623</v>
      </c>
      <c r="J141" s="18">
        <f t="shared" si="0"/>
        <v>22623</v>
      </c>
      <c r="L141" s="19">
        <v>76</v>
      </c>
      <c r="O141" s="20">
        <f>reporte!F139</f>
        <v>29767</v>
      </c>
      <c r="P141" s="21">
        <f t="shared" si="1"/>
        <v>0.00135217858514705</v>
      </c>
      <c r="Q141" s="20" t="str">
        <f t="shared" si="2"/>
        <v> </v>
      </c>
    </row>
    <row r="142" s="4" customFormat="1" ht="30" spans="1:17">
      <c r="A142" s="10">
        <v>139</v>
      </c>
      <c r="B142" s="11" t="s">
        <v>12</v>
      </c>
      <c r="C142" s="11" t="s">
        <v>93</v>
      </c>
      <c r="D142" s="10" t="s">
        <v>21</v>
      </c>
      <c r="E142" s="10" t="s">
        <v>15</v>
      </c>
      <c r="F142" s="10" t="s">
        <v>19</v>
      </c>
      <c r="G142" s="10"/>
      <c r="H142" s="10"/>
      <c r="I142" s="18">
        <f>ROUND(reporte!F140*L142/100,0)</f>
        <v>49817</v>
      </c>
      <c r="J142" s="18">
        <f t="shared" si="0"/>
        <v>49817</v>
      </c>
      <c r="L142" s="19">
        <v>70</v>
      </c>
      <c r="O142" s="20">
        <f>reporte!F140</f>
        <v>71167</v>
      </c>
      <c r="P142" s="21">
        <f t="shared" si="1"/>
        <v>0.00323279112336346</v>
      </c>
      <c r="Q142" s="20" t="str">
        <f t="shared" si="2"/>
        <v> </v>
      </c>
    </row>
    <row r="143" s="4" customFormat="1" spans="1:17">
      <c r="A143" s="10">
        <v>140</v>
      </c>
      <c r="B143" s="11" t="s">
        <v>16</v>
      </c>
      <c r="C143" s="11" t="s">
        <v>74</v>
      </c>
      <c r="D143" s="10" t="s">
        <v>21</v>
      </c>
      <c r="E143" s="10" t="s">
        <v>15</v>
      </c>
      <c r="F143" s="10" t="s">
        <v>19</v>
      </c>
      <c r="G143" s="10"/>
      <c r="H143" s="10"/>
      <c r="I143" s="18">
        <f>ROUND(reporte!F141*L143/100,0)</f>
        <v>23410</v>
      </c>
      <c r="J143" s="18">
        <f t="shared" si="0"/>
        <v>23410</v>
      </c>
      <c r="L143" s="19">
        <v>79</v>
      </c>
      <c r="O143" s="20">
        <f>reporte!F141</f>
        <v>29633</v>
      </c>
      <c r="P143" s="21">
        <f t="shared" si="1"/>
        <v>0.00134609157838084</v>
      </c>
      <c r="Q143" s="20" t="str">
        <f t="shared" si="2"/>
        <v> </v>
      </c>
    </row>
    <row r="144" s="4" customFormat="1" ht="30" spans="1:17">
      <c r="A144" s="10">
        <v>141</v>
      </c>
      <c r="B144" s="11" t="s">
        <v>12</v>
      </c>
      <c r="C144" s="11" t="s">
        <v>94</v>
      </c>
      <c r="D144" s="10" t="s">
        <v>21</v>
      </c>
      <c r="E144" s="10" t="s">
        <v>15</v>
      </c>
      <c r="F144" s="10" t="s">
        <v>19</v>
      </c>
      <c r="G144" s="10"/>
      <c r="H144" s="10"/>
      <c r="I144" s="18">
        <f>ROUND(reporte!F142*L144/100,0)</f>
        <v>40227</v>
      </c>
      <c r="J144" s="18">
        <f t="shared" si="0"/>
        <v>40227</v>
      </c>
      <c r="L144" s="19">
        <v>70</v>
      </c>
      <c r="O144" s="20">
        <f>reporte!F142</f>
        <v>57467</v>
      </c>
      <c r="P144" s="21">
        <f t="shared" si="1"/>
        <v>0.00261046281965416</v>
      </c>
      <c r="Q144" s="20" t="str">
        <f t="shared" si="2"/>
        <v> </v>
      </c>
    </row>
    <row r="145" s="4" customFormat="1" spans="1:17">
      <c r="A145" s="10">
        <v>142</v>
      </c>
      <c r="B145" s="11" t="s">
        <v>16</v>
      </c>
      <c r="C145" s="11" t="s">
        <v>74</v>
      </c>
      <c r="D145" s="10" t="s">
        <v>21</v>
      </c>
      <c r="E145" s="10" t="s">
        <v>15</v>
      </c>
      <c r="F145" s="10" t="s">
        <v>19</v>
      </c>
      <c r="G145" s="10"/>
      <c r="H145" s="10"/>
      <c r="I145" s="18">
        <f>ROUND(reporte!F143*L145/100,0)</f>
        <v>16950</v>
      </c>
      <c r="J145" s="18">
        <f t="shared" si="0"/>
        <v>16950</v>
      </c>
      <c r="L145" s="19">
        <v>75</v>
      </c>
      <c r="O145" s="20">
        <f>reporte!F143</f>
        <v>22600</v>
      </c>
      <c r="P145" s="21">
        <f t="shared" si="1"/>
        <v>0.00102661457400219</v>
      </c>
      <c r="Q145" s="20" t="str">
        <f t="shared" si="2"/>
        <v> </v>
      </c>
    </row>
    <row r="146" s="4" customFormat="1" ht="30" spans="1:17">
      <c r="A146" s="10">
        <v>143</v>
      </c>
      <c r="B146" s="11" t="s">
        <v>12</v>
      </c>
      <c r="C146" s="11" t="s">
        <v>95</v>
      </c>
      <c r="D146" s="10" t="s">
        <v>21</v>
      </c>
      <c r="E146" s="10" t="s">
        <v>15</v>
      </c>
      <c r="F146" s="10" t="s">
        <v>19</v>
      </c>
      <c r="G146" s="10"/>
      <c r="H146" s="10"/>
      <c r="I146" s="18">
        <f>ROUND(reporte!F144*L146/100,0)</f>
        <v>64948</v>
      </c>
      <c r="J146" s="18">
        <f t="shared" si="0"/>
        <v>64948</v>
      </c>
      <c r="L146" s="19">
        <v>78</v>
      </c>
      <c r="O146" s="20">
        <f>reporte!F144</f>
        <v>83267</v>
      </c>
      <c r="P146" s="21">
        <f t="shared" si="1"/>
        <v>0.00378243874926729</v>
      </c>
      <c r="Q146" s="20" t="str">
        <f t="shared" si="2"/>
        <v> </v>
      </c>
    </row>
    <row r="147" s="4" customFormat="1" spans="1:17">
      <c r="A147" s="10">
        <v>144</v>
      </c>
      <c r="B147" s="11" t="s">
        <v>16</v>
      </c>
      <c r="C147" s="11" t="s">
        <v>74</v>
      </c>
      <c r="D147" s="10" t="s">
        <v>21</v>
      </c>
      <c r="E147" s="10" t="s">
        <v>15</v>
      </c>
      <c r="F147" s="10" t="s">
        <v>19</v>
      </c>
      <c r="G147" s="10"/>
      <c r="H147" s="10"/>
      <c r="I147" s="18">
        <f>ROUND(reporte!F145*L147/100,0)</f>
        <v>35478</v>
      </c>
      <c r="J147" s="18">
        <f t="shared" si="0"/>
        <v>35478</v>
      </c>
      <c r="L147" s="19">
        <v>73</v>
      </c>
      <c r="O147" s="20">
        <f>reporte!F145</f>
        <v>48600</v>
      </c>
      <c r="P147" s="21">
        <f t="shared" si="1"/>
        <v>0.002207675588341</v>
      </c>
      <c r="Q147" s="20" t="str">
        <f t="shared" si="2"/>
        <v> </v>
      </c>
    </row>
    <row r="148" s="4" customFormat="1" ht="30" spans="1:17">
      <c r="A148" s="10">
        <v>145</v>
      </c>
      <c r="B148" s="11" t="s">
        <v>12</v>
      </c>
      <c r="C148" s="11" t="s">
        <v>96</v>
      </c>
      <c r="D148" s="10" t="s">
        <v>21</v>
      </c>
      <c r="E148" s="10" t="s">
        <v>15</v>
      </c>
      <c r="F148" s="10" t="s">
        <v>19</v>
      </c>
      <c r="G148" s="10"/>
      <c r="H148" s="10"/>
      <c r="I148" s="18">
        <f>ROUND(reporte!F146*L148/100,0)</f>
        <v>54220</v>
      </c>
      <c r="J148" s="18">
        <f t="shared" si="0"/>
        <v>54220</v>
      </c>
      <c r="L148" s="19">
        <v>79</v>
      </c>
      <c r="O148" s="20">
        <f>reporte!F146</f>
        <v>68633</v>
      </c>
      <c r="P148" s="21">
        <f t="shared" si="1"/>
        <v>0.00311768309988905</v>
      </c>
      <c r="Q148" s="20" t="str">
        <f t="shared" si="2"/>
        <v> </v>
      </c>
    </row>
    <row r="149" s="4" customFormat="1" spans="1:17">
      <c r="A149" s="10">
        <v>146</v>
      </c>
      <c r="B149" s="11" t="s">
        <v>16</v>
      </c>
      <c r="C149" s="11" t="s">
        <v>74</v>
      </c>
      <c r="D149" s="10" t="s">
        <v>21</v>
      </c>
      <c r="E149" s="10" t="s">
        <v>15</v>
      </c>
      <c r="F149" s="10" t="s">
        <v>19</v>
      </c>
      <c r="G149" s="10"/>
      <c r="H149" s="10"/>
      <c r="I149" s="18">
        <f>ROUND(reporte!F147*L149/100,0)</f>
        <v>21024</v>
      </c>
      <c r="J149" s="18">
        <f t="shared" si="0"/>
        <v>21024</v>
      </c>
      <c r="L149" s="19">
        <v>73</v>
      </c>
      <c r="O149" s="20">
        <f>reporte!F147</f>
        <v>28800</v>
      </c>
      <c r="P149" s="21">
        <f t="shared" si="1"/>
        <v>0.00130825220049837</v>
      </c>
      <c r="Q149" s="20" t="str">
        <f t="shared" si="2"/>
        <v> </v>
      </c>
    </row>
    <row r="150" s="4" customFormat="1" ht="30" spans="1:17">
      <c r="A150" s="10">
        <v>147</v>
      </c>
      <c r="B150" s="11" t="s">
        <v>12</v>
      </c>
      <c r="C150" s="11" t="s">
        <v>97</v>
      </c>
      <c r="D150" s="10" t="s">
        <v>21</v>
      </c>
      <c r="E150" s="10" t="s">
        <v>15</v>
      </c>
      <c r="F150" s="10" t="s">
        <v>19</v>
      </c>
      <c r="G150" s="10"/>
      <c r="H150" s="10"/>
      <c r="I150" s="18">
        <f>ROUND(reporte!F148*L150/100,0)</f>
        <v>44404</v>
      </c>
      <c r="J150" s="18">
        <f t="shared" si="0"/>
        <v>44404</v>
      </c>
      <c r="L150" s="19">
        <v>77</v>
      </c>
      <c r="O150" s="20">
        <f>reporte!F148</f>
        <v>57667</v>
      </c>
      <c r="P150" s="21">
        <f t="shared" si="1"/>
        <v>0.00261954790437985</v>
      </c>
      <c r="Q150" s="20" t="str">
        <f t="shared" si="2"/>
        <v> </v>
      </c>
    </row>
    <row r="151" s="4" customFormat="1" spans="1:17">
      <c r="A151" s="10">
        <v>148</v>
      </c>
      <c r="B151" s="11" t="s">
        <v>16</v>
      </c>
      <c r="C151" s="11" t="s">
        <v>74</v>
      </c>
      <c r="D151" s="10" t="s">
        <v>21</v>
      </c>
      <c r="E151" s="10" t="s">
        <v>15</v>
      </c>
      <c r="F151" s="10" t="s">
        <v>19</v>
      </c>
      <c r="G151" s="10"/>
      <c r="H151" s="10"/>
      <c r="I151" s="18">
        <f>ROUND(reporte!F149*L151/100,0)</f>
        <v>16046</v>
      </c>
      <c r="J151" s="18">
        <f t="shared" si="0"/>
        <v>16046</v>
      </c>
      <c r="L151" s="19">
        <v>71</v>
      </c>
      <c r="O151" s="20">
        <f>reporte!F149</f>
        <v>22600</v>
      </c>
      <c r="P151" s="21">
        <f t="shared" si="1"/>
        <v>0.00102661457400219</v>
      </c>
      <c r="Q151" s="20" t="str">
        <f t="shared" si="2"/>
        <v> </v>
      </c>
    </row>
    <row r="152" s="4" customFormat="1" ht="30" spans="1:17">
      <c r="A152" s="10">
        <v>149</v>
      </c>
      <c r="B152" s="11" t="s">
        <v>12</v>
      </c>
      <c r="C152" s="11" t="s">
        <v>98</v>
      </c>
      <c r="D152" s="10" t="s">
        <v>21</v>
      </c>
      <c r="E152" s="10" t="s">
        <v>15</v>
      </c>
      <c r="F152" s="10" t="s">
        <v>19</v>
      </c>
      <c r="G152" s="10"/>
      <c r="H152" s="10"/>
      <c r="I152" s="18">
        <f>ROUND(reporte!F150*L152/100,0)</f>
        <v>128242</v>
      </c>
      <c r="J152" s="18">
        <f t="shared" si="0"/>
        <v>128242</v>
      </c>
      <c r="L152" s="19">
        <v>74</v>
      </c>
      <c r="O152" s="20">
        <f>reporte!F150</f>
        <v>173300</v>
      </c>
      <c r="P152" s="21">
        <f t="shared" si="1"/>
        <v>0.00787222591480444</v>
      </c>
      <c r="Q152" s="20" t="str">
        <f t="shared" si="2"/>
        <v> </v>
      </c>
    </row>
    <row r="153" s="4" customFormat="1" spans="1:17">
      <c r="A153" s="10">
        <v>150</v>
      </c>
      <c r="B153" s="11" t="s">
        <v>16</v>
      </c>
      <c r="C153" s="11" t="s">
        <v>74</v>
      </c>
      <c r="D153" s="10" t="s">
        <v>21</v>
      </c>
      <c r="E153" s="10" t="s">
        <v>15</v>
      </c>
      <c r="F153" s="10" t="s">
        <v>19</v>
      </c>
      <c r="G153" s="10"/>
      <c r="H153" s="10"/>
      <c r="I153" s="18">
        <f>ROUND(reporte!F151*L153/100,0)</f>
        <v>66260</v>
      </c>
      <c r="J153" s="18">
        <f t="shared" si="0"/>
        <v>66260</v>
      </c>
      <c r="L153" s="19">
        <v>73</v>
      </c>
      <c r="O153" s="20">
        <f>reporte!F151</f>
        <v>90767</v>
      </c>
      <c r="P153" s="21">
        <f t="shared" si="1"/>
        <v>0.00412312942648041</v>
      </c>
      <c r="Q153" s="20" t="str">
        <f t="shared" si="2"/>
        <v> </v>
      </c>
    </row>
    <row r="154" s="4" customFormat="1" ht="30" spans="1:17">
      <c r="A154" s="10">
        <v>151</v>
      </c>
      <c r="B154" s="11" t="s">
        <v>12</v>
      </c>
      <c r="C154" s="11" t="s">
        <v>99</v>
      </c>
      <c r="D154" s="10" t="s">
        <v>21</v>
      </c>
      <c r="E154" s="10" t="s">
        <v>15</v>
      </c>
      <c r="F154" s="10" t="s">
        <v>19</v>
      </c>
      <c r="G154" s="10"/>
      <c r="H154" s="10"/>
      <c r="I154" s="18">
        <f>ROUND(reporte!F152*L154/100,0)</f>
        <v>64376</v>
      </c>
      <c r="J154" s="18">
        <f t="shared" si="0"/>
        <v>64376</v>
      </c>
      <c r="L154" s="19">
        <v>78</v>
      </c>
      <c r="O154" s="20">
        <f>reporte!F152</f>
        <v>82533</v>
      </c>
      <c r="P154" s="21">
        <f t="shared" si="1"/>
        <v>0.00374909648832403</v>
      </c>
      <c r="Q154" s="20" t="str">
        <f t="shared" si="2"/>
        <v> </v>
      </c>
    </row>
    <row r="155" s="4" customFormat="1" ht="45" spans="1:17">
      <c r="A155" s="10">
        <v>152</v>
      </c>
      <c r="B155" s="11" t="s">
        <v>16</v>
      </c>
      <c r="C155" s="11" t="s">
        <v>74</v>
      </c>
      <c r="D155" s="10" t="s">
        <v>100</v>
      </c>
      <c r="E155" s="10" t="s">
        <v>15</v>
      </c>
      <c r="F155" s="10" t="s">
        <v>19</v>
      </c>
      <c r="G155" s="10"/>
      <c r="H155" s="10"/>
      <c r="I155" s="18">
        <f>ROUND(reporte!F153*L155/100,0)</f>
        <v>27600</v>
      </c>
      <c r="J155" s="18">
        <f t="shared" si="0"/>
        <v>27600</v>
      </c>
      <c r="L155" s="19">
        <v>80</v>
      </c>
      <c r="O155" s="20">
        <f>reporte!F153</f>
        <v>34500</v>
      </c>
      <c r="P155" s="21">
        <f t="shared" si="1"/>
        <v>0.00156717711518034</v>
      </c>
      <c r="Q155" s="20" t="str">
        <f t="shared" si="2"/>
        <v> </v>
      </c>
    </row>
    <row r="156" s="4" customFormat="1" ht="30" spans="1:17">
      <c r="A156" s="10">
        <v>153</v>
      </c>
      <c r="B156" s="11" t="s">
        <v>12</v>
      </c>
      <c r="C156" s="11" t="s">
        <v>101</v>
      </c>
      <c r="D156" s="10" t="s">
        <v>21</v>
      </c>
      <c r="E156" s="10" t="s">
        <v>15</v>
      </c>
      <c r="F156" s="10" t="s">
        <v>19</v>
      </c>
      <c r="G156" s="10"/>
      <c r="H156" s="10"/>
      <c r="I156" s="18">
        <f>ROUND(reporte!F154*L156/100,0)</f>
        <v>97892</v>
      </c>
      <c r="J156" s="18">
        <f t="shared" si="0"/>
        <v>97892</v>
      </c>
      <c r="L156" s="19">
        <v>77</v>
      </c>
      <c r="O156" s="20">
        <f>reporte!F154</f>
        <v>127133</v>
      </c>
      <c r="P156" s="21">
        <f t="shared" si="1"/>
        <v>0.00577507038215137</v>
      </c>
      <c r="Q156" s="20" t="str">
        <f t="shared" si="2"/>
        <v> </v>
      </c>
    </row>
    <row r="157" s="4" customFormat="1" spans="1:17">
      <c r="A157" s="10">
        <v>154</v>
      </c>
      <c r="B157" s="11" t="s">
        <v>16</v>
      </c>
      <c r="C157" s="11" t="s">
        <v>74</v>
      </c>
      <c r="D157" s="10" t="s">
        <v>21</v>
      </c>
      <c r="E157" s="10" t="s">
        <v>15</v>
      </c>
      <c r="F157" s="10" t="s">
        <v>19</v>
      </c>
      <c r="G157" s="10"/>
      <c r="H157" s="10"/>
      <c r="I157" s="18">
        <f>ROUND(reporte!F155*L157/100,0)</f>
        <v>36560</v>
      </c>
      <c r="J157" s="18">
        <f t="shared" si="0"/>
        <v>36560</v>
      </c>
      <c r="L157" s="19">
        <v>80</v>
      </c>
      <c r="O157" s="20">
        <f>reporte!F155</f>
        <v>45700</v>
      </c>
      <c r="P157" s="21">
        <f t="shared" si="1"/>
        <v>0.0020759418598186</v>
      </c>
      <c r="Q157" s="20" t="str">
        <f t="shared" si="2"/>
        <v> </v>
      </c>
    </row>
    <row r="158" s="4" customFormat="1" ht="30" spans="1:17">
      <c r="A158" s="10">
        <v>155</v>
      </c>
      <c r="B158" s="11" t="s">
        <v>12</v>
      </c>
      <c r="C158" s="11" t="s">
        <v>102</v>
      </c>
      <c r="D158" s="10" t="s">
        <v>21</v>
      </c>
      <c r="E158" s="10" t="s">
        <v>15</v>
      </c>
      <c r="F158" s="10" t="s">
        <v>19</v>
      </c>
      <c r="G158" s="10"/>
      <c r="H158" s="10"/>
      <c r="I158" s="18">
        <f>ROUND(reporte!F156*L158/100,0)</f>
        <v>60528</v>
      </c>
      <c r="J158" s="18">
        <f t="shared" si="0"/>
        <v>60528</v>
      </c>
      <c r="L158" s="19">
        <v>78</v>
      </c>
      <c r="O158" s="20">
        <f>reporte!F156</f>
        <v>77600</v>
      </c>
      <c r="P158" s="21">
        <f t="shared" si="1"/>
        <v>0.00352501287356506</v>
      </c>
      <c r="Q158" s="20" t="str">
        <f t="shared" si="2"/>
        <v> </v>
      </c>
    </row>
    <row r="159" s="4" customFormat="1" spans="1:17">
      <c r="A159" s="10">
        <v>156</v>
      </c>
      <c r="B159" s="11" t="s">
        <v>16</v>
      </c>
      <c r="C159" s="11" t="s">
        <v>74</v>
      </c>
      <c r="D159" s="10" t="s">
        <v>21</v>
      </c>
      <c r="E159" s="10" t="s">
        <v>15</v>
      </c>
      <c r="F159" s="10" t="s">
        <v>19</v>
      </c>
      <c r="G159" s="10"/>
      <c r="H159" s="10"/>
      <c r="I159" s="18">
        <f>ROUND(reporte!F157*L159/100,0)</f>
        <v>22493</v>
      </c>
      <c r="J159" s="18">
        <f t="shared" si="0"/>
        <v>22493</v>
      </c>
      <c r="L159" s="19">
        <v>70</v>
      </c>
      <c r="O159" s="20">
        <f>reporte!F157</f>
        <v>32133</v>
      </c>
      <c r="P159" s="21">
        <f t="shared" si="1"/>
        <v>0.00145965513745188</v>
      </c>
      <c r="Q159" s="20" t="str">
        <f t="shared" si="2"/>
        <v> </v>
      </c>
    </row>
    <row r="160" s="4" customFormat="1" ht="30" spans="1:17">
      <c r="A160" s="10">
        <v>157</v>
      </c>
      <c r="B160" s="11" t="s">
        <v>12</v>
      </c>
      <c r="C160" s="11" t="s">
        <v>103</v>
      </c>
      <c r="D160" s="10" t="s">
        <v>21</v>
      </c>
      <c r="E160" s="10" t="s">
        <v>15</v>
      </c>
      <c r="F160" s="10" t="s">
        <v>19</v>
      </c>
      <c r="G160" s="10"/>
      <c r="H160" s="10"/>
      <c r="I160" s="18">
        <f>ROUND(reporte!F158*L160/100,0)</f>
        <v>115226</v>
      </c>
      <c r="J160" s="18">
        <f t="shared" si="0"/>
        <v>115226</v>
      </c>
      <c r="L160" s="19">
        <v>80</v>
      </c>
      <c r="O160" s="20">
        <f>reporte!F158</f>
        <v>144033</v>
      </c>
      <c r="P160" s="21">
        <f t="shared" si="1"/>
        <v>0.0065427600414716</v>
      </c>
      <c r="Q160" s="20" t="str">
        <f t="shared" si="2"/>
        <v> </v>
      </c>
    </row>
    <row r="161" s="4" customFormat="1" spans="1:17">
      <c r="A161" s="10">
        <v>158</v>
      </c>
      <c r="B161" s="11" t="s">
        <v>16</v>
      </c>
      <c r="C161" s="11" t="s">
        <v>17</v>
      </c>
      <c r="D161" s="10" t="s">
        <v>21</v>
      </c>
      <c r="E161" s="10" t="s">
        <v>15</v>
      </c>
      <c r="F161" s="10" t="s">
        <v>19</v>
      </c>
      <c r="G161" s="10"/>
      <c r="H161" s="10"/>
      <c r="I161" s="18">
        <f>ROUND(reporte!F159*L161/100,0)</f>
        <v>35443</v>
      </c>
      <c r="J161" s="18">
        <f t="shared" si="0"/>
        <v>35443</v>
      </c>
      <c r="L161" s="19">
        <v>70</v>
      </c>
      <c r="O161" s="20">
        <f>reporte!F159</f>
        <v>50633</v>
      </c>
      <c r="P161" s="21">
        <f t="shared" si="1"/>
        <v>0.00230002547457757</v>
      </c>
      <c r="Q161" s="20" t="str">
        <f t="shared" si="2"/>
        <v> </v>
      </c>
    </row>
    <row r="162" s="4" customFormat="1" ht="30" spans="1:17">
      <c r="A162" s="10">
        <v>159</v>
      </c>
      <c r="B162" s="11" t="s">
        <v>12</v>
      </c>
      <c r="C162" s="11" t="s">
        <v>104</v>
      </c>
      <c r="D162" s="10" t="s">
        <v>21</v>
      </c>
      <c r="E162" s="10" t="s">
        <v>15</v>
      </c>
      <c r="F162" s="10" t="s">
        <v>19</v>
      </c>
      <c r="G162" s="10"/>
      <c r="H162" s="10"/>
      <c r="I162" s="18">
        <f>ROUND(reporte!F160*L162/100,0)</f>
        <v>62680</v>
      </c>
      <c r="J162" s="18">
        <f t="shared" si="0"/>
        <v>62680</v>
      </c>
      <c r="L162" s="22">
        <v>20</v>
      </c>
      <c r="O162" s="20">
        <f>reporte!F160</f>
        <v>313400</v>
      </c>
      <c r="P162" s="21">
        <f t="shared" si="1"/>
        <v>0.0142363277651455</v>
      </c>
      <c r="Q162" s="20" t="str">
        <f t="shared" si="2"/>
        <v>ALTO</v>
      </c>
    </row>
    <row r="163" s="4" customFormat="1" spans="1:17">
      <c r="A163" s="10">
        <v>160</v>
      </c>
      <c r="B163" s="11" t="s">
        <v>16</v>
      </c>
      <c r="C163" s="11" t="s">
        <v>74</v>
      </c>
      <c r="D163" s="10" t="s">
        <v>21</v>
      </c>
      <c r="E163" s="10" t="s">
        <v>15</v>
      </c>
      <c r="F163" s="10" t="s">
        <v>19</v>
      </c>
      <c r="G163" s="10"/>
      <c r="H163" s="10"/>
      <c r="I163" s="18">
        <f>ROUND(reporte!F161*L163/100,0)</f>
        <v>63804</v>
      </c>
      <c r="J163" s="18">
        <f t="shared" si="0"/>
        <v>63804</v>
      </c>
      <c r="L163" s="19">
        <v>78</v>
      </c>
      <c r="O163" s="20">
        <f>reporte!F161</f>
        <v>81800</v>
      </c>
      <c r="P163" s="21">
        <f t="shared" si="1"/>
        <v>0.0037157996528044</v>
      </c>
      <c r="Q163" s="20" t="str">
        <f t="shared" si="2"/>
        <v> </v>
      </c>
    </row>
    <row r="164" s="4" customFormat="1" spans="1:17">
      <c r="A164" s="10">
        <v>161</v>
      </c>
      <c r="B164" s="11" t="s">
        <v>105</v>
      </c>
      <c r="C164" s="11" t="s">
        <v>106</v>
      </c>
      <c r="D164" s="10" t="s">
        <v>21</v>
      </c>
      <c r="E164" s="10" t="s">
        <v>15</v>
      </c>
      <c r="F164" s="10" t="s">
        <v>19</v>
      </c>
      <c r="G164" s="10"/>
      <c r="H164" s="10"/>
      <c r="I164" s="18">
        <f>ROUND(reporte!F162*L164/100,0)</f>
        <v>43233</v>
      </c>
      <c r="J164" s="18">
        <f t="shared" si="0"/>
        <v>43233</v>
      </c>
      <c r="L164" s="22">
        <v>20</v>
      </c>
      <c r="O164" s="20">
        <f>reporte!F162</f>
        <v>216167</v>
      </c>
      <c r="P164" s="21">
        <f t="shared" si="1"/>
        <v>0.00981947754948373</v>
      </c>
      <c r="Q164" s="20" t="str">
        <f t="shared" si="2"/>
        <v>ALTO</v>
      </c>
    </row>
    <row r="165" s="4" customFormat="1" spans="1:17">
      <c r="A165" s="10">
        <v>162</v>
      </c>
      <c r="B165" s="11" t="s">
        <v>16</v>
      </c>
      <c r="C165" s="11" t="s">
        <v>74</v>
      </c>
      <c r="D165" s="10" t="s">
        <v>21</v>
      </c>
      <c r="E165" s="10" t="s">
        <v>15</v>
      </c>
      <c r="F165" s="10" t="s">
        <v>19</v>
      </c>
      <c r="G165" s="10"/>
      <c r="H165" s="10"/>
      <c r="I165" s="18">
        <f>ROUND(reporte!F163*L165/100,0)</f>
        <v>66281</v>
      </c>
      <c r="J165" s="18">
        <f t="shared" si="0"/>
        <v>66281</v>
      </c>
      <c r="L165" s="19">
        <v>79</v>
      </c>
      <c r="O165" s="20">
        <f>reporte!F163</f>
        <v>83900</v>
      </c>
      <c r="P165" s="21">
        <f t="shared" si="1"/>
        <v>0.00381119304242408</v>
      </c>
      <c r="Q165" s="20" t="str">
        <f t="shared" si="2"/>
        <v> </v>
      </c>
    </row>
    <row r="166" s="4" customFormat="1" spans="1:17">
      <c r="A166" s="10">
        <v>163</v>
      </c>
      <c r="B166" s="11" t="s">
        <v>105</v>
      </c>
      <c r="C166" s="11" t="s">
        <v>107</v>
      </c>
      <c r="D166" s="10" t="s">
        <v>21</v>
      </c>
      <c r="E166" s="10" t="s">
        <v>15</v>
      </c>
      <c r="F166" s="10" t="s">
        <v>19</v>
      </c>
      <c r="G166" s="10"/>
      <c r="H166" s="10"/>
      <c r="I166" s="18">
        <f>ROUND(reporte!F164*L166/100,0)</f>
        <v>51307</v>
      </c>
      <c r="J166" s="18">
        <f t="shared" si="0"/>
        <v>51307</v>
      </c>
      <c r="L166" s="22">
        <v>20</v>
      </c>
      <c r="O166" s="20">
        <f>reporte!F164</f>
        <v>256533</v>
      </c>
      <c r="P166" s="21">
        <f t="shared" si="1"/>
        <v>0.0116531201996684</v>
      </c>
      <c r="Q166" s="20" t="str">
        <f t="shared" si="2"/>
        <v>ALTO</v>
      </c>
    </row>
    <row r="167" s="4" customFormat="1" spans="1:17">
      <c r="A167" s="10">
        <v>164</v>
      </c>
      <c r="B167" s="11" t="s">
        <v>16</v>
      </c>
      <c r="C167" s="11" t="s">
        <v>74</v>
      </c>
      <c r="D167" s="10" t="s">
        <v>21</v>
      </c>
      <c r="E167" s="10" t="s">
        <v>15</v>
      </c>
      <c r="F167" s="10" t="s">
        <v>19</v>
      </c>
      <c r="G167" s="10"/>
      <c r="H167" s="10"/>
      <c r="I167" s="18">
        <f>ROUND(reporte!F165*L167/100,0)</f>
        <v>69075</v>
      </c>
      <c r="J167" s="18">
        <f t="shared" si="0"/>
        <v>69075</v>
      </c>
      <c r="L167" s="19">
        <v>75</v>
      </c>
      <c r="O167" s="20">
        <f>reporte!F165</f>
        <v>92100</v>
      </c>
      <c r="P167" s="21">
        <f t="shared" si="1"/>
        <v>0.00418368151617708</v>
      </c>
      <c r="Q167" s="20" t="str">
        <f t="shared" si="2"/>
        <v> </v>
      </c>
    </row>
    <row r="168" s="4" customFormat="1" spans="1:17">
      <c r="A168" s="10">
        <v>165</v>
      </c>
      <c r="B168" s="11" t="s">
        <v>105</v>
      </c>
      <c r="C168" s="11" t="s">
        <v>108</v>
      </c>
      <c r="D168" s="10" t="s">
        <v>21</v>
      </c>
      <c r="E168" s="10" t="s">
        <v>15</v>
      </c>
      <c r="F168" s="10" t="s">
        <v>19</v>
      </c>
      <c r="G168" s="10"/>
      <c r="H168" s="10"/>
      <c r="I168" s="18">
        <f>ROUND(reporte!F166*L168/100,0)</f>
        <v>62000</v>
      </c>
      <c r="J168" s="18">
        <f t="shared" si="0"/>
        <v>62000</v>
      </c>
      <c r="L168" s="22">
        <v>20</v>
      </c>
      <c r="O168" s="20">
        <f>reporte!F166</f>
        <v>310000</v>
      </c>
      <c r="P168" s="21">
        <f t="shared" si="1"/>
        <v>0.0140818813248089</v>
      </c>
      <c r="Q168" s="20" t="str">
        <f t="shared" si="2"/>
        <v>ALTO</v>
      </c>
    </row>
    <row r="169" s="4" customFormat="1" spans="1:17">
      <c r="A169" s="10">
        <v>166</v>
      </c>
      <c r="B169" s="11" t="s">
        <v>16</v>
      </c>
      <c r="C169" s="11" t="s">
        <v>17</v>
      </c>
      <c r="D169" s="10" t="s">
        <v>21</v>
      </c>
      <c r="E169" s="10" t="s">
        <v>15</v>
      </c>
      <c r="F169" s="10" t="s">
        <v>19</v>
      </c>
      <c r="G169" s="10"/>
      <c r="H169" s="10"/>
      <c r="I169" s="18">
        <f>ROUND(reporte!F167*L169/100,0)</f>
        <v>78520</v>
      </c>
      <c r="J169" s="18">
        <f t="shared" si="0"/>
        <v>78520</v>
      </c>
      <c r="L169" s="19">
        <v>78</v>
      </c>
      <c r="O169" s="20">
        <f>reporte!F167</f>
        <v>100667</v>
      </c>
      <c r="P169" s="21">
        <f t="shared" si="1"/>
        <v>0.00457284112040172</v>
      </c>
      <c r="Q169" s="20" t="str">
        <f t="shared" si="2"/>
        <v> </v>
      </c>
    </row>
    <row r="170" s="4" customFormat="1" spans="1:17">
      <c r="A170" s="10">
        <v>167</v>
      </c>
      <c r="B170" s="11" t="s">
        <v>105</v>
      </c>
      <c r="C170" s="11" t="s">
        <v>109</v>
      </c>
      <c r="D170" s="10" t="s">
        <v>21</v>
      </c>
      <c r="E170" s="10" t="s">
        <v>15</v>
      </c>
      <c r="F170" s="10" t="s">
        <v>19</v>
      </c>
      <c r="G170" s="10"/>
      <c r="H170" s="10"/>
      <c r="I170" s="18">
        <f>ROUND(reporte!F168*L170/100,0)</f>
        <v>115207</v>
      </c>
      <c r="J170" s="18">
        <f t="shared" si="0"/>
        <v>115207</v>
      </c>
      <c r="L170" s="22">
        <v>20</v>
      </c>
      <c r="O170" s="20">
        <f>reporte!F168</f>
        <v>576033</v>
      </c>
      <c r="P170" s="21">
        <f t="shared" si="1"/>
        <v>0.0261665430489472</v>
      </c>
      <c r="Q170" s="20" t="str">
        <f t="shared" si="2"/>
        <v>ALTO</v>
      </c>
    </row>
    <row r="171" s="4" customFormat="1" spans="1:17">
      <c r="A171" s="10">
        <v>168</v>
      </c>
      <c r="B171" s="11" t="s">
        <v>16</v>
      </c>
      <c r="C171" s="11" t="s">
        <v>74</v>
      </c>
      <c r="D171" s="10" t="s">
        <v>21</v>
      </c>
      <c r="E171" s="10" t="s">
        <v>15</v>
      </c>
      <c r="F171" s="10" t="s">
        <v>19</v>
      </c>
      <c r="G171" s="10"/>
      <c r="H171" s="10"/>
      <c r="I171" s="18">
        <f>ROUND(reporte!F169*L171/100,0)</f>
        <v>99281</v>
      </c>
      <c r="J171" s="18">
        <f t="shared" si="0"/>
        <v>99281</v>
      </c>
      <c r="L171" s="19">
        <v>71</v>
      </c>
      <c r="O171" s="20">
        <f>reporte!F169</f>
        <v>139833</v>
      </c>
      <c r="P171" s="21">
        <f t="shared" si="1"/>
        <v>0.00635197326223225</v>
      </c>
      <c r="Q171" s="20" t="str">
        <f t="shared" si="2"/>
        <v> </v>
      </c>
    </row>
    <row r="172" s="4" customFormat="1" spans="1:17">
      <c r="A172" s="10">
        <v>169</v>
      </c>
      <c r="B172" s="11" t="s">
        <v>105</v>
      </c>
      <c r="C172" s="11" t="s">
        <v>110</v>
      </c>
      <c r="D172" s="10" t="s">
        <v>21</v>
      </c>
      <c r="E172" s="10" t="s">
        <v>15</v>
      </c>
      <c r="F172" s="10" t="s">
        <v>19</v>
      </c>
      <c r="G172" s="10"/>
      <c r="H172" s="10"/>
      <c r="I172" s="18">
        <f>ROUND(reporte!F170*L172/100,0)</f>
        <v>130938</v>
      </c>
      <c r="J172" s="18">
        <f t="shared" si="0"/>
        <v>130938</v>
      </c>
      <c r="L172" s="19">
        <v>73</v>
      </c>
      <c r="O172" s="20">
        <f>reporte!F170</f>
        <v>179367</v>
      </c>
      <c r="P172" s="21">
        <f t="shared" si="1"/>
        <v>0.00814782195995803</v>
      </c>
      <c r="Q172" s="20" t="str">
        <f t="shared" si="2"/>
        <v> </v>
      </c>
    </row>
    <row r="173" s="4" customFormat="1" spans="1:17">
      <c r="A173" s="10">
        <v>170</v>
      </c>
      <c r="B173" s="11" t="s">
        <v>16</v>
      </c>
      <c r="C173" s="11" t="s">
        <v>17</v>
      </c>
      <c r="D173" s="10" t="s">
        <v>21</v>
      </c>
      <c r="E173" s="10" t="s">
        <v>15</v>
      </c>
      <c r="F173" s="10" t="s">
        <v>19</v>
      </c>
      <c r="G173" s="10"/>
      <c r="H173" s="10"/>
      <c r="I173" s="18">
        <f>ROUND(reporte!F171*L173/100,0)</f>
        <v>63414</v>
      </c>
      <c r="J173" s="18">
        <f t="shared" si="0"/>
        <v>63414</v>
      </c>
      <c r="L173" s="19">
        <v>78</v>
      </c>
      <c r="O173" s="20">
        <f>reporte!F171</f>
        <v>81300</v>
      </c>
      <c r="P173" s="21">
        <f t="shared" si="1"/>
        <v>0.00369308694099019</v>
      </c>
      <c r="Q173" s="20" t="str">
        <f t="shared" si="2"/>
        <v> </v>
      </c>
    </row>
    <row r="174" s="4" customFormat="1" spans="1:17">
      <c r="A174" s="10">
        <v>171</v>
      </c>
      <c r="B174" s="11" t="s">
        <v>105</v>
      </c>
      <c r="C174" s="11" t="s">
        <v>111</v>
      </c>
      <c r="D174" s="10" t="s">
        <v>21</v>
      </c>
      <c r="E174" s="10" t="s">
        <v>15</v>
      </c>
      <c r="F174" s="10" t="s">
        <v>19</v>
      </c>
      <c r="G174" s="10"/>
      <c r="H174" s="10"/>
      <c r="I174" s="18">
        <f>ROUND(reporte!F172*L174/100,0)</f>
        <v>150600</v>
      </c>
      <c r="J174" s="18">
        <f t="shared" si="0"/>
        <v>150600</v>
      </c>
      <c r="L174" s="19">
        <v>79</v>
      </c>
      <c r="O174" s="20">
        <f>reporte!F172</f>
        <v>190633</v>
      </c>
      <c r="P174" s="21">
        <f t="shared" si="1"/>
        <v>0.00865958478255576</v>
      </c>
      <c r="Q174" s="20" t="str">
        <f t="shared" si="2"/>
        <v> </v>
      </c>
    </row>
    <row r="175" s="4" customFormat="1" spans="1:17">
      <c r="A175" s="10">
        <v>172</v>
      </c>
      <c r="B175" s="11" t="s">
        <v>16</v>
      </c>
      <c r="C175" s="11" t="s">
        <v>74</v>
      </c>
      <c r="D175" s="10" t="s">
        <v>21</v>
      </c>
      <c r="E175" s="10" t="s">
        <v>15</v>
      </c>
      <c r="F175" s="10" t="s">
        <v>19</v>
      </c>
      <c r="G175" s="10"/>
      <c r="H175" s="10"/>
      <c r="I175" s="18">
        <f>ROUND(reporte!F173*L175/100,0)</f>
        <v>50346</v>
      </c>
      <c r="J175" s="18">
        <f t="shared" si="0"/>
        <v>50346</v>
      </c>
      <c r="L175" s="19">
        <v>73</v>
      </c>
      <c r="O175" s="20">
        <f>reporte!F173</f>
        <v>68967</v>
      </c>
      <c r="P175" s="21">
        <f t="shared" si="1"/>
        <v>0.00313285519138094</v>
      </c>
      <c r="Q175" s="20" t="str">
        <f t="shared" si="2"/>
        <v> </v>
      </c>
    </row>
    <row r="176" s="4" customFormat="1" ht="30" spans="1:17">
      <c r="A176" s="10">
        <v>173</v>
      </c>
      <c r="B176" s="11" t="s">
        <v>112</v>
      </c>
      <c r="C176" s="11" t="s">
        <v>113</v>
      </c>
      <c r="D176" s="10" t="s">
        <v>21</v>
      </c>
      <c r="E176" s="10" t="s">
        <v>15</v>
      </c>
      <c r="F176" s="10" t="s">
        <v>19</v>
      </c>
      <c r="G176" s="10"/>
      <c r="H176" s="10"/>
      <c r="I176" s="18">
        <f>ROUND(reporte!F174*L176/100,0)</f>
        <v>92843</v>
      </c>
      <c r="J176" s="18">
        <f t="shared" si="0"/>
        <v>92843</v>
      </c>
      <c r="L176" s="19">
        <v>70</v>
      </c>
      <c r="O176" s="20">
        <f>reporte!F174</f>
        <v>132633</v>
      </c>
      <c r="P176" s="21">
        <f t="shared" si="1"/>
        <v>0.00602491021210766</v>
      </c>
      <c r="Q176" s="20" t="str">
        <f t="shared" si="2"/>
        <v> </v>
      </c>
    </row>
    <row r="177" s="4" customFormat="1" spans="1:17">
      <c r="A177" s="10">
        <v>174</v>
      </c>
      <c r="B177" s="11" t="s">
        <v>16</v>
      </c>
      <c r="C177" s="11" t="s">
        <v>74</v>
      </c>
      <c r="D177" s="10" t="s">
        <v>21</v>
      </c>
      <c r="E177" s="10" t="s">
        <v>15</v>
      </c>
      <c r="F177" s="10" t="s">
        <v>19</v>
      </c>
      <c r="G177" s="10"/>
      <c r="H177" s="10"/>
      <c r="I177" s="18">
        <f>ROUND(reporte!F175*L177/100,0)</f>
        <v>57120</v>
      </c>
      <c r="J177" s="18">
        <f t="shared" si="0"/>
        <v>57120</v>
      </c>
      <c r="L177" s="19">
        <v>80</v>
      </c>
      <c r="O177" s="20">
        <f>reporte!F175</f>
        <v>71400</v>
      </c>
      <c r="P177" s="21">
        <f t="shared" si="1"/>
        <v>0.00324337524706888</v>
      </c>
      <c r="Q177" s="20" t="str">
        <f t="shared" si="2"/>
        <v> </v>
      </c>
    </row>
    <row r="178" s="4" customFormat="1" ht="30" spans="1:17">
      <c r="A178" s="10">
        <v>175</v>
      </c>
      <c r="B178" s="11" t="s">
        <v>112</v>
      </c>
      <c r="C178" s="11" t="s">
        <v>114</v>
      </c>
      <c r="D178" s="10" t="s">
        <v>21</v>
      </c>
      <c r="E178" s="10" t="s">
        <v>15</v>
      </c>
      <c r="F178" s="10" t="s">
        <v>19</v>
      </c>
      <c r="G178" s="10"/>
      <c r="H178" s="10"/>
      <c r="I178" s="18">
        <f>ROUND(reporte!F176*L178/100,0)</f>
        <v>83253</v>
      </c>
      <c r="J178" s="18">
        <f t="shared" si="0"/>
        <v>83253</v>
      </c>
      <c r="L178" s="22">
        <v>20</v>
      </c>
      <c r="O178" s="20">
        <f>reporte!F176</f>
        <v>416267</v>
      </c>
      <c r="P178" s="21">
        <f t="shared" si="1"/>
        <v>0.0189091048175297</v>
      </c>
      <c r="Q178" s="20" t="str">
        <f t="shared" si="2"/>
        <v>ALTO</v>
      </c>
    </row>
    <row r="179" s="4" customFormat="1" spans="1:17">
      <c r="A179" s="10">
        <v>176</v>
      </c>
      <c r="B179" s="11" t="s">
        <v>16</v>
      </c>
      <c r="C179" s="11" t="s">
        <v>74</v>
      </c>
      <c r="D179" s="10" t="s">
        <v>21</v>
      </c>
      <c r="E179" s="10" t="s">
        <v>15</v>
      </c>
      <c r="F179" s="10" t="s">
        <v>19</v>
      </c>
      <c r="G179" s="10"/>
      <c r="H179" s="10"/>
      <c r="I179" s="18">
        <f>ROUND(reporte!F177*L179/100,0)</f>
        <v>93809</v>
      </c>
      <c r="J179" s="18">
        <f t="shared" si="0"/>
        <v>93809</v>
      </c>
      <c r="L179" s="19">
        <v>76</v>
      </c>
      <c r="O179" s="20">
        <f>reporte!F177</f>
        <v>123433</v>
      </c>
      <c r="P179" s="21">
        <f t="shared" si="1"/>
        <v>0.00560699631472623</v>
      </c>
      <c r="Q179" s="20" t="str">
        <f t="shared" si="2"/>
        <v> </v>
      </c>
    </row>
    <row r="180" s="4" customFormat="1" ht="30" spans="1:17">
      <c r="A180" s="10">
        <v>177</v>
      </c>
      <c r="B180" s="11" t="s">
        <v>112</v>
      </c>
      <c r="C180" s="11" t="s">
        <v>115</v>
      </c>
      <c r="D180" s="10" t="s">
        <v>42</v>
      </c>
      <c r="E180" s="10" t="s">
        <v>15</v>
      </c>
      <c r="F180" s="10" t="s">
        <v>19</v>
      </c>
      <c r="G180" s="10"/>
      <c r="H180" s="10"/>
      <c r="I180" s="18">
        <f>ROUND(reporte!F178*L180/100,0)</f>
        <v>80256</v>
      </c>
      <c r="J180" s="18">
        <f t="shared" si="0"/>
        <v>80256</v>
      </c>
      <c r="L180" s="19">
        <v>76</v>
      </c>
      <c r="O180" s="20">
        <f>reporte!F178</f>
        <v>105600</v>
      </c>
      <c r="P180" s="21">
        <f t="shared" si="1"/>
        <v>0.0047969247351607</v>
      </c>
      <c r="Q180" s="20" t="str">
        <f t="shared" si="2"/>
        <v> </v>
      </c>
    </row>
    <row r="181" s="4" customFormat="1" spans="1:17">
      <c r="A181" s="10">
        <v>178</v>
      </c>
      <c r="B181" s="11" t="s">
        <v>16</v>
      </c>
      <c r="C181" s="11" t="s">
        <v>74</v>
      </c>
      <c r="D181" s="10" t="s">
        <v>21</v>
      </c>
      <c r="E181" s="10" t="s">
        <v>15</v>
      </c>
      <c r="F181" s="10" t="s">
        <v>19</v>
      </c>
      <c r="G181" s="10"/>
      <c r="H181" s="10"/>
      <c r="I181" s="18">
        <f>ROUND(reporte!F179*L181/100,0)</f>
        <v>43289</v>
      </c>
      <c r="J181" s="18">
        <f t="shared" si="0"/>
        <v>43289</v>
      </c>
      <c r="L181" s="19">
        <v>73</v>
      </c>
      <c r="O181" s="20">
        <f>reporte!F179</f>
        <v>59300</v>
      </c>
      <c r="P181" s="21">
        <f t="shared" si="1"/>
        <v>0.00269372762116505</v>
      </c>
      <c r="Q181" s="20" t="str">
        <f t="shared" si="2"/>
        <v> </v>
      </c>
    </row>
    <row r="182" s="4" customFormat="1" ht="30" spans="1:17">
      <c r="A182" s="10">
        <v>179</v>
      </c>
      <c r="B182" s="11" t="s">
        <v>112</v>
      </c>
      <c r="C182" s="11" t="s">
        <v>116</v>
      </c>
      <c r="D182" s="10" t="s">
        <v>21</v>
      </c>
      <c r="E182" s="10" t="s">
        <v>15</v>
      </c>
      <c r="F182" s="10" t="s">
        <v>19</v>
      </c>
      <c r="G182" s="10"/>
      <c r="H182" s="10"/>
      <c r="I182" s="18">
        <f>ROUND(reporte!F180*L182/100,0)</f>
        <v>61680</v>
      </c>
      <c r="J182" s="18">
        <f t="shared" si="0"/>
        <v>61680</v>
      </c>
      <c r="L182" s="19">
        <v>72</v>
      </c>
      <c r="O182" s="20">
        <f>reporte!F180</f>
        <v>85667</v>
      </c>
      <c r="P182" s="21">
        <f t="shared" si="1"/>
        <v>0.00389145976597549</v>
      </c>
      <c r="Q182" s="20" t="str">
        <f t="shared" si="2"/>
        <v> </v>
      </c>
    </row>
    <row r="183" s="4" customFormat="1" spans="1:17">
      <c r="A183" s="10">
        <v>180</v>
      </c>
      <c r="B183" s="11" t="s">
        <v>16</v>
      </c>
      <c r="C183" s="11" t="s">
        <v>74</v>
      </c>
      <c r="D183" s="10" t="s">
        <v>21</v>
      </c>
      <c r="E183" s="10" t="s">
        <v>15</v>
      </c>
      <c r="F183" s="10" t="s">
        <v>19</v>
      </c>
      <c r="G183" s="10"/>
      <c r="H183" s="10"/>
      <c r="I183" s="18">
        <f>ROUND(reporte!F181*L183/100,0)</f>
        <v>22330</v>
      </c>
      <c r="J183" s="18">
        <f t="shared" si="0"/>
        <v>22330</v>
      </c>
      <c r="L183" s="19">
        <v>77</v>
      </c>
      <c r="O183" s="20">
        <f>reporte!F181</f>
        <v>29000</v>
      </c>
      <c r="P183" s="21">
        <f t="shared" si="1"/>
        <v>0.00131733728522405</v>
      </c>
      <c r="Q183" s="20" t="str">
        <f t="shared" si="2"/>
        <v> </v>
      </c>
    </row>
    <row r="184" s="4" customFormat="1" ht="30" spans="1:17">
      <c r="A184" s="10">
        <v>181</v>
      </c>
      <c r="B184" s="11" t="s">
        <v>112</v>
      </c>
      <c r="C184" s="11" t="s">
        <v>117</v>
      </c>
      <c r="D184" s="10" t="s">
        <v>21</v>
      </c>
      <c r="E184" s="10" t="s">
        <v>15</v>
      </c>
      <c r="F184" s="10" t="s">
        <v>19</v>
      </c>
      <c r="G184" s="10"/>
      <c r="H184" s="10"/>
      <c r="I184" s="18">
        <f>ROUND(reporte!F182*L184/100,0)</f>
        <v>116014</v>
      </c>
      <c r="J184" s="18">
        <f t="shared" si="0"/>
        <v>116014</v>
      </c>
      <c r="L184" s="19">
        <v>77</v>
      </c>
      <c r="O184" s="20">
        <f>reporte!F182</f>
        <v>150667</v>
      </c>
      <c r="P184" s="21">
        <f t="shared" si="1"/>
        <v>0.0068441123018225</v>
      </c>
      <c r="Q184" s="20" t="str">
        <f t="shared" si="2"/>
        <v> </v>
      </c>
    </row>
    <row r="185" s="4" customFormat="1" spans="1:17">
      <c r="A185" s="10">
        <v>182</v>
      </c>
      <c r="B185" s="11" t="s">
        <v>16</v>
      </c>
      <c r="C185" s="11" t="s">
        <v>74</v>
      </c>
      <c r="D185" s="10" t="s">
        <v>21</v>
      </c>
      <c r="E185" s="10" t="s">
        <v>15</v>
      </c>
      <c r="F185" s="10" t="s">
        <v>19</v>
      </c>
      <c r="G185" s="10"/>
      <c r="H185" s="10"/>
      <c r="I185" s="18">
        <f>ROUND(reporte!F183*L185/100,0)</f>
        <v>53777</v>
      </c>
      <c r="J185" s="18">
        <f t="shared" si="0"/>
        <v>53777</v>
      </c>
      <c r="L185" s="19">
        <v>73</v>
      </c>
      <c r="O185" s="20">
        <f>reporte!F183</f>
        <v>73667</v>
      </c>
      <c r="P185" s="21">
        <f t="shared" si="1"/>
        <v>0.0033463546824345</v>
      </c>
      <c r="Q185" s="20" t="str">
        <f t="shared" si="2"/>
        <v> </v>
      </c>
    </row>
    <row r="186" s="4" customFormat="1" ht="30" spans="1:17">
      <c r="A186" s="10">
        <v>183</v>
      </c>
      <c r="B186" s="11" t="s">
        <v>112</v>
      </c>
      <c r="C186" s="11" t="s">
        <v>118</v>
      </c>
      <c r="D186" s="10" t="s">
        <v>21</v>
      </c>
      <c r="E186" s="10" t="s">
        <v>15</v>
      </c>
      <c r="F186" s="10" t="s">
        <v>19</v>
      </c>
      <c r="G186" s="10"/>
      <c r="H186" s="10"/>
      <c r="I186" s="18">
        <f>ROUND(reporte!F184*L186/100,0)</f>
        <v>130720</v>
      </c>
      <c r="J186" s="18">
        <f t="shared" si="0"/>
        <v>130720</v>
      </c>
      <c r="L186" s="19">
        <v>76</v>
      </c>
      <c r="O186" s="20">
        <f>reporte!F184</f>
        <v>172000</v>
      </c>
      <c r="P186" s="21">
        <f t="shared" si="1"/>
        <v>0.0078131728640875</v>
      </c>
      <c r="Q186" s="20" t="str">
        <f t="shared" si="2"/>
        <v> </v>
      </c>
    </row>
    <row r="187" s="4" customFormat="1" spans="1:17">
      <c r="A187" s="10">
        <v>184</v>
      </c>
      <c r="B187" s="11" t="s">
        <v>16</v>
      </c>
      <c r="C187" s="11" t="s">
        <v>17</v>
      </c>
      <c r="D187" s="10" t="s">
        <v>21</v>
      </c>
      <c r="E187" s="10" t="s">
        <v>15</v>
      </c>
      <c r="F187" s="10" t="s">
        <v>19</v>
      </c>
      <c r="G187" s="10"/>
      <c r="H187" s="10"/>
      <c r="I187" s="18">
        <f>ROUND(reporte!F185*L187/100,0)</f>
        <v>55006</v>
      </c>
      <c r="J187" s="18">
        <f t="shared" si="0"/>
        <v>55006</v>
      </c>
      <c r="L187" s="19">
        <v>74</v>
      </c>
      <c r="O187" s="20">
        <f>reporte!F185</f>
        <v>74333</v>
      </c>
      <c r="P187" s="21">
        <f t="shared" si="1"/>
        <v>0.00337660801457102</v>
      </c>
      <c r="Q187" s="20" t="str">
        <f t="shared" si="2"/>
        <v> </v>
      </c>
    </row>
    <row r="188" s="4" customFormat="1" ht="30" spans="1:17">
      <c r="A188" s="10">
        <v>185</v>
      </c>
      <c r="B188" s="11" t="s">
        <v>112</v>
      </c>
      <c r="C188" s="11" t="s">
        <v>119</v>
      </c>
      <c r="D188" s="10" t="s">
        <v>21</v>
      </c>
      <c r="E188" s="10" t="s">
        <v>15</v>
      </c>
      <c r="F188" s="10" t="s">
        <v>19</v>
      </c>
      <c r="G188" s="10"/>
      <c r="H188" s="10"/>
      <c r="I188" s="18">
        <f>ROUND(reporte!F186*L188/100,0)</f>
        <v>87600</v>
      </c>
      <c r="J188" s="18">
        <f t="shared" si="0"/>
        <v>87600</v>
      </c>
      <c r="L188" s="19">
        <v>73</v>
      </c>
      <c r="O188" s="20">
        <f>reporte!F186</f>
        <v>120000</v>
      </c>
      <c r="P188" s="21">
        <f t="shared" si="1"/>
        <v>0.00545105083540988</v>
      </c>
      <c r="Q188" s="20" t="str">
        <f t="shared" si="2"/>
        <v> </v>
      </c>
    </row>
    <row r="189" s="4" customFormat="1" spans="1:17">
      <c r="A189" s="10">
        <v>186</v>
      </c>
      <c r="B189" s="11" t="s">
        <v>16</v>
      </c>
      <c r="C189" s="11" t="s">
        <v>74</v>
      </c>
      <c r="D189" s="10" t="s">
        <v>21</v>
      </c>
      <c r="E189" s="10" t="s">
        <v>15</v>
      </c>
      <c r="F189" s="10" t="s">
        <v>19</v>
      </c>
      <c r="G189" s="10"/>
      <c r="H189" s="10"/>
      <c r="I189" s="18">
        <f>ROUND(reporte!F187*L189/100,0)</f>
        <v>39960</v>
      </c>
      <c r="J189" s="18">
        <f t="shared" si="0"/>
        <v>39960</v>
      </c>
      <c r="L189" s="19">
        <v>74</v>
      </c>
      <c r="O189" s="20">
        <f>reporte!F187</f>
        <v>54000</v>
      </c>
      <c r="P189" s="21">
        <f t="shared" si="1"/>
        <v>0.00245297287593445</v>
      </c>
      <c r="Q189" s="20" t="str">
        <f t="shared" si="2"/>
        <v> </v>
      </c>
    </row>
    <row r="190" s="4" customFormat="1" ht="30" spans="1:17">
      <c r="A190" s="10">
        <v>187</v>
      </c>
      <c r="B190" s="11" t="s">
        <v>112</v>
      </c>
      <c r="C190" s="11" t="s">
        <v>120</v>
      </c>
      <c r="D190" s="10" t="s">
        <v>21</v>
      </c>
      <c r="E190" s="10" t="s">
        <v>15</v>
      </c>
      <c r="F190" s="10" t="s">
        <v>19</v>
      </c>
      <c r="G190" s="10"/>
      <c r="H190" s="10"/>
      <c r="I190" s="18">
        <f>ROUND(reporte!F188*L190/100,0)</f>
        <v>142500</v>
      </c>
      <c r="J190" s="18">
        <f t="shared" si="0"/>
        <v>142500</v>
      </c>
      <c r="L190" s="19">
        <v>75</v>
      </c>
      <c r="O190" s="20">
        <f>reporte!F188</f>
        <v>190000</v>
      </c>
      <c r="P190" s="21">
        <f t="shared" si="1"/>
        <v>0.00863083048939898</v>
      </c>
      <c r="Q190" s="20" t="str">
        <f t="shared" si="2"/>
        <v> </v>
      </c>
    </row>
    <row r="191" s="4" customFormat="1" spans="1:17">
      <c r="A191" s="10">
        <v>188</v>
      </c>
      <c r="B191" s="11" t="s">
        <v>16</v>
      </c>
      <c r="C191" s="11" t="s">
        <v>74</v>
      </c>
      <c r="D191" s="10" t="s">
        <v>21</v>
      </c>
      <c r="E191" s="10" t="s">
        <v>15</v>
      </c>
      <c r="F191" s="10" t="s">
        <v>19</v>
      </c>
      <c r="G191" s="10"/>
      <c r="H191" s="10"/>
      <c r="I191" s="18">
        <f>ROUND(reporte!F189*L191/100,0)</f>
        <v>51877</v>
      </c>
      <c r="J191" s="18">
        <f t="shared" si="0"/>
        <v>51877</v>
      </c>
      <c r="L191" s="19">
        <v>79</v>
      </c>
      <c r="O191" s="20">
        <f>reporte!F189</f>
        <v>65667</v>
      </c>
      <c r="P191" s="21">
        <f t="shared" si="1"/>
        <v>0.00298295129340717</v>
      </c>
      <c r="Q191" s="20" t="str">
        <f t="shared" si="2"/>
        <v> </v>
      </c>
    </row>
    <row r="192" s="4" customFormat="1" ht="30" spans="1:17">
      <c r="A192" s="10">
        <v>189</v>
      </c>
      <c r="B192" s="11" t="s">
        <v>112</v>
      </c>
      <c r="C192" s="11" t="s">
        <v>121</v>
      </c>
      <c r="D192" s="10" t="s">
        <v>21</v>
      </c>
      <c r="E192" s="10" t="s">
        <v>15</v>
      </c>
      <c r="F192" s="10" t="s">
        <v>19</v>
      </c>
      <c r="G192" s="10"/>
      <c r="H192" s="10"/>
      <c r="I192" s="18">
        <f>ROUND(reporte!F190*L192/100,0)</f>
        <v>70000</v>
      </c>
      <c r="J192" s="18">
        <f t="shared" si="0"/>
        <v>70000</v>
      </c>
      <c r="L192" s="19">
        <v>70</v>
      </c>
      <c r="O192" s="20">
        <f>reporte!F190</f>
        <v>100000</v>
      </c>
      <c r="P192" s="21">
        <f t="shared" si="1"/>
        <v>0.00454254236284157</v>
      </c>
      <c r="Q192" s="20" t="str">
        <f t="shared" si="2"/>
        <v> </v>
      </c>
    </row>
    <row r="193" s="4" customFormat="1" spans="1:17">
      <c r="A193" s="10">
        <v>190</v>
      </c>
      <c r="B193" s="11" t="s">
        <v>16</v>
      </c>
      <c r="C193" s="11" t="s">
        <v>74</v>
      </c>
      <c r="D193" s="10" t="s">
        <v>21</v>
      </c>
      <c r="E193" s="10" t="s">
        <v>15</v>
      </c>
      <c r="F193" s="10" t="s">
        <v>19</v>
      </c>
      <c r="G193" s="10"/>
      <c r="H193" s="10"/>
      <c r="I193" s="18">
        <f>ROUND(reporte!F191*L193/100,0)</f>
        <v>39734</v>
      </c>
      <c r="J193" s="18">
        <f t="shared" si="0"/>
        <v>39734</v>
      </c>
      <c r="L193" s="19">
        <v>80</v>
      </c>
      <c r="O193" s="20">
        <f>reporte!F191</f>
        <v>49667</v>
      </c>
      <c r="P193" s="21">
        <f t="shared" si="1"/>
        <v>0.00225614451535252</v>
      </c>
      <c r="Q193" s="20" t="str">
        <f t="shared" si="2"/>
        <v> </v>
      </c>
    </row>
    <row r="194" s="4" customFormat="1" ht="30" spans="1:17">
      <c r="A194" s="10">
        <v>191</v>
      </c>
      <c r="B194" s="11" t="s">
        <v>112</v>
      </c>
      <c r="C194" s="11" t="s">
        <v>122</v>
      </c>
      <c r="D194" s="10" t="s">
        <v>21</v>
      </c>
      <c r="E194" s="10" t="s">
        <v>15</v>
      </c>
      <c r="F194" s="10" t="s">
        <v>19</v>
      </c>
      <c r="G194" s="10"/>
      <c r="H194" s="10"/>
      <c r="I194" s="18">
        <f>ROUND(reporte!F192*L194/100,0)</f>
        <v>126786</v>
      </c>
      <c r="J194" s="18">
        <f t="shared" si="0"/>
        <v>126786</v>
      </c>
      <c r="L194" s="19">
        <v>74</v>
      </c>
      <c r="O194" s="20">
        <f>reporte!F192</f>
        <v>171333</v>
      </c>
      <c r="P194" s="21">
        <f t="shared" si="1"/>
        <v>0.00778287410652734</v>
      </c>
      <c r="Q194" s="20" t="str">
        <f t="shared" si="2"/>
        <v> </v>
      </c>
    </row>
    <row r="195" s="4" customFormat="1" spans="1:17">
      <c r="A195" s="10">
        <v>192</v>
      </c>
      <c r="B195" s="11" t="s">
        <v>16</v>
      </c>
      <c r="C195" s="11" t="s">
        <v>74</v>
      </c>
      <c r="D195" s="10" t="s">
        <v>21</v>
      </c>
      <c r="E195" s="10" t="s">
        <v>15</v>
      </c>
      <c r="F195" s="10" t="s">
        <v>19</v>
      </c>
      <c r="G195" s="10"/>
      <c r="H195" s="10"/>
      <c r="I195" s="18">
        <f>ROUND(reporte!F193*L195/100,0)</f>
        <v>41580</v>
      </c>
      <c r="J195" s="18">
        <f t="shared" si="0"/>
        <v>41580</v>
      </c>
      <c r="L195" s="19">
        <v>77</v>
      </c>
      <c r="O195" s="20">
        <f>reporte!F193</f>
        <v>54000</v>
      </c>
      <c r="P195" s="21">
        <f t="shared" si="1"/>
        <v>0.00245297287593445</v>
      </c>
      <c r="Q195" s="20" t="str">
        <f t="shared" si="2"/>
        <v> </v>
      </c>
    </row>
    <row r="196" s="4" customFormat="1" ht="45" spans="1:17">
      <c r="A196" s="10">
        <v>193</v>
      </c>
      <c r="B196" s="11" t="s">
        <v>123</v>
      </c>
      <c r="C196" s="11" t="s">
        <v>124</v>
      </c>
      <c r="D196" s="10" t="s">
        <v>21</v>
      </c>
      <c r="E196" s="10" t="s">
        <v>15</v>
      </c>
      <c r="F196" s="10" t="s">
        <v>19</v>
      </c>
      <c r="G196" s="10"/>
      <c r="H196" s="10"/>
      <c r="I196" s="18">
        <f>ROUND(reporte!F194*L196/100,0)</f>
        <v>106000</v>
      </c>
      <c r="J196" s="18">
        <f t="shared" si="0"/>
        <v>106000</v>
      </c>
      <c r="L196" s="19">
        <v>75</v>
      </c>
      <c r="O196" s="20">
        <f>reporte!F194</f>
        <v>141333</v>
      </c>
      <c r="P196" s="21">
        <f t="shared" si="1"/>
        <v>0.00642011139767487</v>
      </c>
      <c r="Q196" s="20" t="str">
        <f t="shared" si="2"/>
        <v> </v>
      </c>
    </row>
    <row r="197" s="4" customFormat="1" spans="1:17">
      <c r="A197" s="10">
        <v>194</v>
      </c>
      <c r="B197" s="11" t="s">
        <v>16</v>
      </c>
      <c r="C197" s="11" t="s">
        <v>74</v>
      </c>
      <c r="D197" s="10" t="s">
        <v>21</v>
      </c>
      <c r="E197" s="10" t="s">
        <v>15</v>
      </c>
      <c r="F197" s="10" t="s">
        <v>19</v>
      </c>
      <c r="G197" s="10"/>
      <c r="H197" s="10"/>
      <c r="I197" s="18">
        <f>ROUND(reporte!F195*L197/100,0)</f>
        <v>53250</v>
      </c>
      <c r="J197" s="18">
        <f t="shared" si="0"/>
        <v>53250</v>
      </c>
      <c r="L197" s="19">
        <v>71</v>
      </c>
      <c r="O197" s="20">
        <f>reporte!F195</f>
        <v>75000</v>
      </c>
      <c r="P197" s="21">
        <f t="shared" si="1"/>
        <v>0.00340690677213118</v>
      </c>
      <c r="Q197" s="20" t="str">
        <f t="shared" si="2"/>
        <v> </v>
      </c>
    </row>
    <row r="198" s="4" customFormat="1" ht="30" spans="1:17">
      <c r="A198" s="10">
        <v>195</v>
      </c>
      <c r="B198" s="11" t="s">
        <v>123</v>
      </c>
      <c r="C198" s="11" t="s">
        <v>125</v>
      </c>
      <c r="D198" s="10" t="s">
        <v>21</v>
      </c>
      <c r="E198" s="10" t="s">
        <v>15</v>
      </c>
      <c r="F198" s="10" t="s">
        <v>19</v>
      </c>
      <c r="G198" s="10"/>
      <c r="H198" s="10"/>
      <c r="I198" s="18">
        <f>ROUND(reporte!F196*L198/100,0)</f>
        <v>87667</v>
      </c>
      <c r="J198" s="18">
        <f t="shared" si="0"/>
        <v>87667</v>
      </c>
      <c r="L198" s="22">
        <v>20</v>
      </c>
      <c r="O198" s="20">
        <f>reporte!F196</f>
        <v>438333</v>
      </c>
      <c r="P198" s="21">
        <f t="shared" si="1"/>
        <v>0.0199114622153143</v>
      </c>
      <c r="Q198" s="20" t="str">
        <f t="shared" si="2"/>
        <v>ALTO</v>
      </c>
    </row>
    <row r="199" s="4" customFormat="1" spans="1:17">
      <c r="A199" s="10">
        <v>196</v>
      </c>
      <c r="B199" s="11" t="s">
        <v>16</v>
      </c>
      <c r="C199" s="11" t="s">
        <v>74</v>
      </c>
      <c r="D199" s="10" t="s">
        <v>21</v>
      </c>
      <c r="E199" s="10" t="s">
        <v>15</v>
      </c>
      <c r="F199" s="10" t="s">
        <v>19</v>
      </c>
      <c r="G199" s="10"/>
      <c r="H199" s="10"/>
      <c r="I199" s="18">
        <f>ROUND(reporte!F197*L199/100,0)</f>
        <v>94900</v>
      </c>
      <c r="J199" s="18">
        <f t="shared" si="0"/>
        <v>94900</v>
      </c>
      <c r="L199" s="19">
        <v>73</v>
      </c>
      <c r="O199" s="20">
        <f>reporte!F197</f>
        <v>130000</v>
      </c>
      <c r="P199" s="21">
        <f t="shared" si="1"/>
        <v>0.00590530507169404</v>
      </c>
      <c r="Q199" s="20" t="str">
        <f t="shared" si="2"/>
        <v> </v>
      </c>
    </row>
    <row r="200" s="4" customFormat="1" ht="45" spans="1:17">
      <c r="A200" s="10">
        <v>197</v>
      </c>
      <c r="B200" s="11" t="s">
        <v>123</v>
      </c>
      <c r="C200" s="11" t="s">
        <v>126</v>
      </c>
      <c r="D200" s="10" t="s">
        <v>42</v>
      </c>
      <c r="E200" s="10" t="s">
        <v>15</v>
      </c>
      <c r="F200" s="10" t="s">
        <v>19</v>
      </c>
      <c r="G200" s="10"/>
      <c r="H200" s="10"/>
      <c r="I200" s="18">
        <f>ROUND(reporte!F198*L200/100,0)</f>
        <v>69600</v>
      </c>
      <c r="J200" s="18">
        <f t="shared" si="0"/>
        <v>69600</v>
      </c>
      <c r="L200" s="19">
        <v>72</v>
      </c>
      <c r="O200" s="20">
        <f>reporte!F198</f>
        <v>96667</v>
      </c>
      <c r="P200" s="21">
        <f t="shared" si="1"/>
        <v>0.00439113942588806</v>
      </c>
      <c r="Q200" s="20" t="str">
        <f t="shared" si="2"/>
        <v> </v>
      </c>
    </row>
    <row r="201" s="4" customFormat="1" spans="1:17">
      <c r="A201" s="10">
        <v>198</v>
      </c>
      <c r="B201" s="11" t="s">
        <v>16</v>
      </c>
      <c r="C201" s="11" t="s">
        <v>74</v>
      </c>
      <c r="D201" s="10" t="s">
        <v>21</v>
      </c>
      <c r="E201" s="10" t="s">
        <v>15</v>
      </c>
      <c r="F201" s="10" t="s">
        <v>19</v>
      </c>
      <c r="G201" s="10"/>
      <c r="H201" s="10"/>
      <c r="I201" s="18">
        <f>ROUND(reporte!F199*L201/100,0)</f>
        <v>44080</v>
      </c>
      <c r="J201" s="18">
        <f t="shared" si="0"/>
        <v>44080</v>
      </c>
      <c r="L201" s="19">
        <v>76</v>
      </c>
      <c r="O201" s="20">
        <f>reporte!F199</f>
        <v>58000</v>
      </c>
      <c r="P201" s="21">
        <f t="shared" si="1"/>
        <v>0.00263467457044811</v>
      </c>
      <c r="Q201" s="20" t="str">
        <f t="shared" si="2"/>
        <v> </v>
      </c>
    </row>
    <row r="202" s="4" customFormat="1" ht="30" spans="1:17">
      <c r="A202" s="10">
        <v>199</v>
      </c>
      <c r="B202" s="11" t="s">
        <v>123</v>
      </c>
      <c r="C202" s="11" t="s">
        <v>127</v>
      </c>
      <c r="D202" s="10" t="s">
        <v>21</v>
      </c>
      <c r="E202" s="10" t="s">
        <v>15</v>
      </c>
      <c r="F202" s="10" t="s">
        <v>19</v>
      </c>
      <c r="G202" s="10"/>
      <c r="H202" s="10"/>
      <c r="I202" s="18">
        <f>ROUND(reporte!F200*L202/100,0)</f>
        <v>66734</v>
      </c>
      <c r="J202" s="18">
        <f t="shared" si="0"/>
        <v>66734</v>
      </c>
      <c r="L202" s="19">
        <v>77</v>
      </c>
      <c r="O202" s="20">
        <f>reporte!F200</f>
        <v>86667</v>
      </c>
      <c r="P202" s="21">
        <f t="shared" si="1"/>
        <v>0.0039368851896039</v>
      </c>
      <c r="Q202" s="20" t="str">
        <f t="shared" si="2"/>
        <v> </v>
      </c>
    </row>
    <row r="203" s="4" customFormat="1" spans="1:17">
      <c r="A203" s="10">
        <v>200</v>
      </c>
      <c r="B203" s="11" t="s">
        <v>16</v>
      </c>
      <c r="C203" s="11" t="s">
        <v>74</v>
      </c>
      <c r="D203" s="10" t="s">
        <v>21</v>
      </c>
      <c r="E203" s="10" t="s">
        <v>15</v>
      </c>
      <c r="F203" s="10" t="s">
        <v>19</v>
      </c>
      <c r="G203" s="10"/>
      <c r="H203" s="10"/>
      <c r="I203" s="18">
        <f>ROUND(reporte!F201*L203/100,0)</f>
        <v>20826</v>
      </c>
      <c r="J203" s="18">
        <f t="shared" si="0"/>
        <v>20826</v>
      </c>
      <c r="L203" s="19">
        <v>71</v>
      </c>
      <c r="O203" s="20">
        <f>reporte!F201</f>
        <v>29333</v>
      </c>
      <c r="P203" s="21">
        <f t="shared" si="1"/>
        <v>0.00133246395129232</v>
      </c>
      <c r="Q203" s="20" t="str">
        <f t="shared" si="2"/>
        <v> </v>
      </c>
    </row>
    <row r="204" s="4" customFormat="1" ht="45" spans="1:17">
      <c r="A204" s="10">
        <v>201</v>
      </c>
      <c r="B204" s="11" t="s">
        <v>123</v>
      </c>
      <c r="C204" s="11" t="s">
        <v>128</v>
      </c>
      <c r="D204" s="10" t="s">
        <v>21</v>
      </c>
      <c r="E204" s="10" t="s">
        <v>15</v>
      </c>
      <c r="F204" s="10" t="s">
        <v>19</v>
      </c>
      <c r="G204" s="10"/>
      <c r="H204" s="10"/>
      <c r="I204" s="18">
        <f>ROUND(reporte!F202*L204/100,0)</f>
        <v>109743</v>
      </c>
      <c r="J204" s="18">
        <f t="shared" si="0"/>
        <v>109743</v>
      </c>
      <c r="L204" s="19">
        <v>73</v>
      </c>
      <c r="O204" s="20">
        <f>reporte!F202</f>
        <v>150333</v>
      </c>
      <c r="P204" s="21">
        <f t="shared" si="1"/>
        <v>0.00682894021033061</v>
      </c>
      <c r="Q204" s="20" t="str">
        <f t="shared" si="2"/>
        <v> </v>
      </c>
    </row>
    <row r="205" s="4" customFormat="1" spans="1:17">
      <c r="A205" s="10">
        <v>202</v>
      </c>
      <c r="B205" s="11" t="s">
        <v>16</v>
      </c>
      <c r="C205" s="11" t="s">
        <v>22</v>
      </c>
      <c r="D205" s="10" t="s">
        <v>21</v>
      </c>
      <c r="E205" s="10" t="s">
        <v>15</v>
      </c>
      <c r="F205" s="10" t="s">
        <v>19</v>
      </c>
      <c r="G205" s="10"/>
      <c r="H205" s="10"/>
      <c r="I205" s="18">
        <f>ROUND(reporte!F203*L205/100,0)</f>
        <v>54020</v>
      </c>
      <c r="J205" s="18">
        <f t="shared" si="0"/>
        <v>54020</v>
      </c>
      <c r="L205" s="19">
        <v>73</v>
      </c>
      <c r="O205" s="20">
        <f>reporte!F203</f>
        <v>74000</v>
      </c>
      <c r="P205" s="21">
        <f t="shared" si="1"/>
        <v>0.00336148134850276</v>
      </c>
      <c r="Q205" s="20" t="str">
        <f t="shared" si="2"/>
        <v> </v>
      </c>
    </row>
    <row r="206" s="4" customFormat="1" ht="45" spans="1:17">
      <c r="A206" s="10">
        <v>203</v>
      </c>
      <c r="B206" s="11" t="s">
        <v>123</v>
      </c>
      <c r="C206" s="11" t="s">
        <v>129</v>
      </c>
      <c r="D206" s="10" t="s">
        <v>21</v>
      </c>
      <c r="E206" s="10" t="s">
        <v>15</v>
      </c>
      <c r="F206" s="10" t="s">
        <v>19</v>
      </c>
      <c r="G206" s="10"/>
      <c r="H206" s="10"/>
      <c r="I206" s="18">
        <f>ROUND(reporte!F204*L206/100,0)</f>
        <v>121174</v>
      </c>
      <c r="J206" s="18">
        <f t="shared" si="0"/>
        <v>121174</v>
      </c>
      <c r="L206" s="19">
        <v>71</v>
      </c>
      <c r="O206" s="20">
        <f>reporte!F204</f>
        <v>170667</v>
      </c>
      <c r="P206" s="21">
        <f t="shared" si="1"/>
        <v>0.00775262077439082</v>
      </c>
      <c r="Q206" s="20" t="str">
        <f t="shared" si="2"/>
        <v> </v>
      </c>
    </row>
    <row r="207" s="4" customFormat="1" spans="1:17">
      <c r="A207" s="10">
        <v>204</v>
      </c>
      <c r="B207" s="11" t="s">
        <v>16</v>
      </c>
      <c r="C207" s="11" t="s">
        <v>17</v>
      </c>
      <c r="D207" s="10" t="s">
        <v>21</v>
      </c>
      <c r="E207" s="10" t="s">
        <v>15</v>
      </c>
      <c r="F207" s="10" t="s">
        <v>19</v>
      </c>
      <c r="G207" s="10"/>
      <c r="H207" s="10"/>
      <c r="I207" s="18">
        <f>ROUND(reporte!F205*L207/100,0)</f>
        <v>56493</v>
      </c>
      <c r="J207" s="18">
        <f t="shared" si="0"/>
        <v>56493</v>
      </c>
      <c r="L207" s="19">
        <v>76</v>
      </c>
      <c r="O207" s="20">
        <f>reporte!F205</f>
        <v>74333</v>
      </c>
      <c r="P207" s="21">
        <f t="shared" si="1"/>
        <v>0.00337660801457102</v>
      </c>
      <c r="Q207" s="20" t="str">
        <f t="shared" si="2"/>
        <v> </v>
      </c>
    </row>
    <row r="208" s="4" customFormat="1" ht="45" spans="1:17">
      <c r="A208" s="10">
        <v>205</v>
      </c>
      <c r="B208" s="11" t="s">
        <v>123</v>
      </c>
      <c r="C208" s="11" t="s">
        <v>130</v>
      </c>
      <c r="D208" s="10" t="s">
        <v>21</v>
      </c>
      <c r="E208" s="10" t="s">
        <v>15</v>
      </c>
      <c r="F208" s="10" t="s">
        <v>19</v>
      </c>
      <c r="G208" s="10"/>
      <c r="H208" s="10"/>
      <c r="I208" s="18">
        <f>ROUND(reporte!F206*L208/100,0)</f>
        <v>80967</v>
      </c>
      <c r="J208" s="18">
        <f t="shared" si="0"/>
        <v>80967</v>
      </c>
      <c r="L208" s="19">
        <v>70</v>
      </c>
      <c r="O208" s="20">
        <f>reporte!F206</f>
        <v>115667</v>
      </c>
      <c r="P208" s="21">
        <f t="shared" si="1"/>
        <v>0.00525422247482796</v>
      </c>
      <c r="Q208" s="20" t="str">
        <f t="shared" si="2"/>
        <v> </v>
      </c>
    </row>
    <row r="209" s="4" customFormat="1" spans="1:17">
      <c r="A209" s="10">
        <v>206</v>
      </c>
      <c r="B209" s="11" t="s">
        <v>16</v>
      </c>
      <c r="C209" s="11" t="s">
        <v>17</v>
      </c>
      <c r="D209" s="10" t="s">
        <v>21</v>
      </c>
      <c r="E209" s="10" t="s">
        <v>15</v>
      </c>
      <c r="F209" s="10" t="s">
        <v>19</v>
      </c>
      <c r="G209" s="10"/>
      <c r="H209" s="10"/>
      <c r="I209" s="18">
        <f>ROUND(reporte!F207*L209/100,0)</f>
        <v>38576</v>
      </c>
      <c r="J209" s="18">
        <f t="shared" si="0"/>
        <v>38576</v>
      </c>
      <c r="L209" s="19">
        <v>71</v>
      </c>
      <c r="O209" s="20">
        <f>reporte!F207</f>
        <v>54333</v>
      </c>
      <c r="P209" s="21">
        <f t="shared" si="1"/>
        <v>0.00246809954200271</v>
      </c>
      <c r="Q209" s="20" t="str">
        <f t="shared" si="2"/>
        <v> </v>
      </c>
    </row>
    <row r="210" s="4" customFormat="1" ht="45" spans="1:17">
      <c r="A210" s="10">
        <v>207</v>
      </c>
      <c r="B210" s="11" t="s">
        <v>123</v>
      </c>
      <c r="C210" s="11" t="s">
        <v>131</v>
      </c>
      <c r="D210" s="10" t="s">
        <v>21</v>
      </c>
      <c r="E210" s="10" t="s">
        <v>15</v>
      </c>
      <c r="F210" s="10" t="s">
        <v>19</v>
      </c>
      <c r="G210" s="10"/>
      <c r="H210" s="10"/>
      <c r="I210" s="18">
        <f>ROUND(reporte!F208*L210/100,0)</f>
        <v>134900</v>
      </c>
      <c r="J210" s="18">
        <f t="shared" si="0"/>
        <v>134900</v>
      </c>
      <c r="L210" s="19">
        <v>71</v>
      </c>
      <c r="O210" s="20">
        <f>reporte!F208</f>
        <v>190000</v>
      </c>
      <c r="P210" s="21">
        <f t="shared" si="1"/>
        <v>0.00863083048939898</v>
      </c>
      <c r="Q210" s="20" t="str">
        <f t="shared" si="2"/>
        <v> </v>
      </c>
    </row>
    <row r="211" s="4" customFormat="1" spans="1:17">
      <c r="A211" s="10">
        <v>208</v>
      </c>
      <c r="B211" s="11" t="s">
        <v>16</v>
      </c>
      <c r="C211" s="11" t="s">
        <v>17</v>
      </c>
      <c r="D211" s="10" t="s">
        <v>21</v>
      </c>
      <c r="E211" s="10" t="s">
        <v>15</v>
      </c>
      <c r="F211" s="10" t="s">
        <v>19</v>
      </c>
      <c r="G211" s="10"/>
      <c r="H211" s="10"/>
      <c r="I211" s="18">
        <f>ROUND(reporte!F209*L211/100,0)</f>
        <v>47937</v>
      </c>
      <c r="J211" s="18">
        <f t="shared" si="0"/>
        <v>47937</v>
      </c>
      <c r="L211" s="19">
        <v>73</v>
      </c>
      <c r="O211" s="20">
        <f>reporte!F209</f>
        <v>65667</v>
      </c>
      <c r="P211" s="21">
        <f t="shared" si="1"/>
        <v>0.00298295129340717</v>
      </c>
      <c r="Q211" s="20" t="str">
        <f t="shared" si="2"/>
        <v> </v>
      </c>
    </row>
    <row r="212" s="4" customFormat="1" ht="45" spans="1:17">
      <c r="A212" s="10">
        <v>209</v>
      </c>
      <c r="B212" s="11" t="s">
        <v>123</v>
      </c>
      <c r="C212" s="11" t="s">
        <v>132</v>
      </c>
      <c r="D212" s="10" t="s">
        <v>21</v>
      </c>
      <c r="E212" s="10" t="s">
        <v>15</v>
      </c>
      <c r="F212" s="10" t="s">
        <v>19</v>
      </c>
      <c r="G212" s="10"/>
      <c r="H212" s="10"/>
      <c r="I212" s="18">
        <f>ROUND(reporte!F210*L212/100,0)</f>
        <v>70000</v>
      </c>
      <c r="J212" s="18">
        <f t="shared" si="0"/>
        <v>70000</v>
      </c>
      <c r="L212" s="19">
        <v>70</v>
      </c>
      <c r="O212" s="20">
        <f>reporte!F210</f>
        <v>100000</v>
      </c>
      <c r="P212" s="21">
        <f t="shared" si="1"/>
        <v>0.00454254236284157</v>
      </c>
      <c r="Q212" s="20" t="str">
        <f t="shared" si="2"/>
        <v> </v>
      </c>
    </row>
    <row r="213" s="4" customFormat="1" spans="1:17">
      <c r="A213" s="10">
        <v>210</v>
      </c>
      <c r="B213" s="11" t="s">
        <v>16</v>
      </c>
      <c r="C213" s="11" t="s">
        <v>17</v>
      </c>
      <c r="D213" s="10" t="s">
        <v>21</v>
      </c>
      <c r="E213" s="10" t="s">
        <v>15</v>
      </c>
      <c r="F213" s="10" t="s">
        <v>19</v>
      </c>
      <c r="G213" s="10"/>
      <c r="H213" s="10"/>
      <c r="I213" s="18">
        <f>ROUND(reporte!F211*L213/100,0)</f>
        <v>36257</v>
      </c>
      <c r="J213" s="18">
        <f t="shared" si="0"/>
        <v>36257</v>
      </c>
      <c r="L213" s="19">
        <v>73</v>
      </c>
      <c r="O213" s="20">
        <f>reporte!F211</f>
        <v>49667</v>
      </c>
      <c r="P213" s="21">
        <f t="shared" si="1"/>
        <v>0.00225614451535252</v>
      </c>
      <c r="Q213" s="20" t="str">
        <f t="shared" si="2"/>
        <v> </v>
      </c>
    </row>
    <row r="214" s="4" customFormat="1" ht="45" spans="1:17">
      <c r="A214" s="10">
        <v>211</v>
      </c>
      <c r="B214" s="11" t="s">
        <v>123</v>
      </c>
      <c r="C214" s="11" t="s">
        <v>133</v>
      </c>
      <c r="D214" s="10" t="s">
        <v>21</v>
      </c>
      <c r="E214" s="10" t="s">
        <v>15</v>
      </c>
      <c r="F214" s="10" t="s">
        <v>19</v>
      </c>
      <c r="G214" s="10"/>
      <c r="H214" s="10"/>
      <c r="I214" s="18">
        <f>ROUND(reporte!F212*L214/100,0)</f>
        <v>128500</v>
      </c>
      <c r="J214" s="18">
        <f t="shared" si="0"/>
        <v>128500</v>
      </c>
      <c r="L214" s="19">
        <v>75</v>
      </c>
      <c r="O214" s="20">
        <f>reporte!F212</f>
        <v>171333</v>
      </c>
      <c r="P214" s="21">
        <f t="shared" si="1"/>
        <v>0.00778287410652734</v>
      </c>
      <c r="Q214" s="20" t="str">
        <f t="shared" si="2"/>
        <v> </v>
      </c>
    </row>
    <row r="215" s="4" customFormat="1" spans="1:17">
      <c r="A215" s="10">
        <v>212</v>
      </c>
      <c r="B215" s="11" t="s">
        <v>16</v>
      </c>
      <c r="C215" s="11" t="s">
        <v>17</v>
      </c>
      <c r="D215" s="10" t="s">
        <v>21</v>
      </c>
      <c r="E215" s="10" t="s">
        <v>15</v>
      </c>
      <c r="F215" s="10" t="s">
        <v>19</v>
      </c>
      <c r="G215" s="10"/>
      <c r="H215" s="10"/>
      <c r="I215" s="18">
        <f>ROUND(reporte!F213*L215/100,0)</f>
        <v>42397</v>
      </c>
      <c r="J215" s="18">
        <f t="shared" si="0"/>
        <v>42397</v>
      </c>
      <c r="L215" s="19">
        <v>79</v>
      </c>
      <c r="O215" s="20">
        <f>reporte!F213</f>
        <v>53667</v>
      </c>
      <c r="P215" s="21">
        <f t="shared" si="1"/>
        <v>0.00243784620986618</v>
      </c>
      <c r="Q215" s="20" t="str">
        <f t="shared" si="2"/>
        <v> </v>
      </c>
    </row>
    <row r="216" s="4" customFormat="1" ht="45" spans="1:17">
      <c r="A216" s="10">
        <v>213</v>
      </c>
      <c r="B216" s="11" t="s">
        <v>123</v>
      </c>
      <c r="C216" s="11" t="s">
        <v>133</v>
      </c>
      <c r="D216" s="10" t="s">
        <v>21</v>
      </c>
      <c r="E216" s="10" t="s">
        <v>15</v>
      </c>
      <c r="F216" s="10" t="s">
        <v>19</v>
      </c>
      <c r="G216" s="10"/>
      <c r="H216" s="10"/>
      <c r="I216" s="18">
        <f>ROUND(reporte!F214*L216/100,0)</f>
        <v>16510578</v>
      </c>
      <c r="J216" s="18">
        <f>F216*I216</f>
        <v>16510578</v>
      </c>
      <c r="L216" s="19">
        <v>75</v>
      </c>
      <c r="O216" s="20">
        <f>reporte!F214</f>
        <v>22014104</v>
      </c>
      <c r="P216" s="21">
        <f>O216/$O$217</f>
        <v>1</v>
      </c>
      <c r="Q216" s="20" t="str">
        <f>IF(P216&gt;0.009,"ALTO"," ")</f>
        <v>ALTO</v>
      </c>
    </row>
    <row r="217" s="3" customFormat="1" ht="48" customHeight="1" spans="1:26">
      <c r="A217" s="23"/>
      <c r="B217" s="24"/>
      <c r="C217" s="24"/>
      <c r="D217" s="23"/>
      <c r="E217" s="23"/>
      <c r="F217" s="23"/>
      <c r="G217" s="23"/>
      <c r="H217" s="23"/>
      <c r="I217" s="30" t="s">
        <v>134</v>
      </c>
      <c r="J217" s="30">
        <f>SUM(J4:J215)</f>
        <v>13715501</v>
      </c>
      <c r="K217" s="31"/>
      <c r="L217" s="32">
        <f>J217/O217</f>
        <v>0.623032443200959</v>
      </c>
      <c r="M217" s="31"/>
      <c r="N217" s="31"/>
      <c r="O217" s="31">
        <f>SUM(O4:O215)</f>
        <v>22014104</v>
      </c>
      <c r="P217" s="33">
        <f>O217/$O$217</f>
        <v>1</v>
      </c>
      <c r="Q217" s="35" t="str">
        <f>IF(P217&gt;0.009,"ALTO"," ")</f>
        <v>ALTO</v>
      </c>
      <c r="R217" s="31"/>
      <c r="S217" s="31"/>
      <c r="T217" s="31"/>
      <c r="U217" s="31"/>
      <c r="V217" s="31"/>
      <c r="W217" s="31"/>
      <c r="X217" s="31"/>
      <c r="Y217" s="31"/>
      <c r="Z217" s="31"/>
    </row>
    <row r="218" s="3" customFormat="1" spans="1:12">
      <c r="A218" s="25"/>
      <c r="B218" s="26"/>
      <c r="C218" s="26"/>
      <c r="D218" s="25"/>
      <c r="E218" s="25"/>
      <c r="F218" s="25"/>
      <c r="G218" s="25"/>
      <c r="H218" s="25"/>
      <c r="I218" s="25"/>
      <c r="J218" s="25"/>
      <c r="L218" s="15"/>
    </row>
    <row r="219" s="3" customFormat="1" spans="1:12">
      <c r="A219" s="25"/>
      <c r="B219" s="26"/>
      <c r="C219" s="26"/>
      <c r="D219" s="25"/>
      <c r="E219" s="25"/>
      <c r="F219" s="25"/>
      <c r="G219" s="25"/>
      <c r="H219" s="25"/>
      <c r="I219" s="25"/>
      <c r="J219" s="25"/>
      <c r="L219" s="15"/>
    </row>
    <row r="220" s="3" customFormat="1" spans="1:12">
      <c r="A220" s="25"/>
      <c r="B220" s="26"/>
      <c r="C220" s="26"/>
      <c r="D220" s="25"/>
      <c r="E220" s="25"/>
      <c r="F220" s="25"/>
      <c r="G220" s="25"/>
      <c r="H220" s="25"/>
      <c r="I220" s="25"/>
      <c r="J220" s="25"/>
      <c r="L220" s="15"/>
    </row>
    <row r="221" s="3" customFormat="1" spans="1:12">
      <c r="A221" s="25"/>
      <c r="B221" s="26"/>
      <c r="C221" s="26"/>
      <c r="D221" s="25"/>
      <c r="E221" s="25"/>
      <c r="F221" s="25"/>
      <c r="G221" s="25"/>
      <c r="H221" s="25"/>
      <c r="I221" s="25"/>
      <c r="J221" s="25"/>
      <c r="L221" s="15"/>
    </row>
    <row r="222" s="3" customFormat="1" spans="1:12">
      <c r="A222" s="25"/>
      <c r="B222" s="26"/>
      <c r="C222" s="26"/>
      <c r="D222" s="25"/>
      <c r="E222" s="25"/>
      <c r="F222" s="25"/>
      <c r="G222" s="25"/>
      <c r="H222" s="25"/>
      <c r="I222" s="25"/>
      <c r="J222" s="25"/>
      <c r="L222" s="15"/>
    </row>
    <row r="223" s="3" customFormat="1" ht="28.5" customHeight="1" spans="1:12">
      <c r="A223" s="25"/>
      <c r="B223" s="27" t="s">
        <v>135</v>
      </c>
      <c r="C223" s="27"/>
      <c r="D223" s="25"/>
      <c r="E223" s="25"/>
      <c r="F223" s="25"/>
      <c r="G223" s="25"/>
      <c r="H223" s="25"/>
      <c r="I223" s="25"/>
      <c r="J223" s="25"/>
      <c r="L223" s="15"/>
    </row>
    <row r="224" s="3" customFormat="1" ht="28.5" customHeight="1" spans="1:12">
      <c r="A224" s="25"/>
      <c r="B224" s="28" t="s">
        <v>136</v>
      </c>
      <c r="C224" s="28" t="s">
        <v>137</v>
      </c>
      <c r="D224" s="25"/>
      <c r="E224" s="25"/>
      <c r="F224" s="25"/>
      <c r="G224" s="25"/>
      <c r="H224" s="25"/>
      <c r="I224" s="25"/>
      <c r="J224" s="25"/>
      <c r="L224" s="15"/>
    </row>
    <row r="225" s="3" customFormat="1" ht="28.5" customHeight="1" spans="1:12">
      <c r="A225" s="25"/>
      <c r="B225" s="28" t="s">
        <v>138</v>
      </c>
      <c r="C225" s="28" t="s">
        <v>139</v>
      </c>
      <c r="D225" s="25"/>
      <c r="E225" s="25"/>
      <c r="F225" s="25"/>
      <c r="G225" s="25"/>
      <c r="H225" s="25"/>
      <c r="I225" s="25"/>
      <c r="J225" s="25"/>
      <c r="L225" s="15"/>
    </row>
    <row r="226" ht="12.75" customHeight="1" spans="2:12">
      <c r="B226" s="29"/>
      <c r="C226" s="29"/>
      <c r="L226" s="34"/>
    </row>
    <row r="227" ht="12.75" customHeight="1" spans="2:12">
      <c r="B227" s="29"/>
      <c r="C227" s="29"/>
      <c r="L227" s="34"/>
    </row>
    <row r="228" ht="12.75" customHeight="1" spans="2:12">
      <c r="B228" s="29"/>
      <c r="C228" s="29"/>
      <c r="L228" s="34"/>
    </row>
    <row r="229" ht="12.75" customHeight="1" spans="2:12">
      <c r="B229" s="29"/>
      <c r="C229" s="29"/>
      <c r="L229" s="34"/>
    </row>
    <row r="230" ht="12.75" customHeight="1" spans="2:12">
      <c r="B230" s="29"/>
      <c r="C230" s="29"/>
      <c r="L230" s="34"/>
    </row>
    <row r="231" ht="12.75" customHeight="1" spans="2:12">
      <c r="B231" s="29"/>
      <c r="C231" s="29"/>
      <c r="L231" s="34"/>
    </row>
    <row r="232" ht="12.75" customHeight="1" spans="2:12">
      <c r="B232" s="29"/>
      <c r="C232" s="29"/>
      <c r="L232" s="34"/>
    </row>
    <row r="233" ht="12.75" customHeight="1" spans="2:12">
      <c r="B233" s="29"/>
      <c r="C233" s="29"/>
      <c r="L233" s="34"/>
    </row>
    <row r="234" ht="12.75" customHeight="1" spans="2:12">
      <c r="B234" s="29"/>
      <c r="C234" s="29"/>
      <c r="L234" s="34"/>
    </row>
    <row r="235" ht="12.75" customHeight="1" spans="2:12">
      <c r="B235" s="29"/>
      <c r="C235" s="29"/>
      <c r="L235" s="34"/>
    </row>
    <row r="236" ht="12.75" customHeight="1" spans="2:12">
      <c r="B236" s="29"/>
      <c r="C236" s="29"/>
      <c r="L236" s="34"/>
    </row>
    <row r="237" ht="12.75" customHeight="1" spans="2:12">
      <c r="B237" s="29"/>
      <c r="C237" s="29"/>
      <c r="L237" s="34"/>
    </row>
    <row r="238" ht="12.75" customHeight="1" spans="2:12">
      <c r="B238" s="29"/>
      <c r="C238" s="29"/>
      <c r="L238" s="34"/>
    </row>
    <row r="239" ht="12.75" customHeight="1" spans="2:12">
      <c r="B239" s="29"/>
      <c r="C239" s="29"/>
      <c r="L239" s="34"/>
    </row>
    <row r="240" ht="12.75" customHeight="1" spans="2:12">
      <c r="B240" s="29"/>
      <c r="C240" s="29"/>
      <c r="L240" s="34"/>
    </row>
    <row r="241" ht="12.75" customHeight="1" spans="2:12">
      <c r="B241" s="29"/>
      <c r="C241" s="29"/>
      <c r="L241" s="34"/>
    </row>
    <row r="242" ht="12.75" customHeight="1" spans="2:12">
      <c r="B242" s="29"/>
      <c r="C242" s="29"/>
      <c r="L242" s="34"/>
    </row>
    <row r="243" ht="12.75" customHeight="1" spans="2:12">
      <c r="B243" s="29"/>
      <c r="C243" s="29"/>
      <c r="L243" s="34"/>
    </row>
    <row r="244" ht="12.75" customHeight="1" spans="2:12">
      <c r="B244" s="29"/>
      <c r="C244" s="29"/>
      <c r="L244" s="34"/>
    </row>
    <row r="245" ht="12.75" customHeight="1" spans="2:12">
      <c r="B245" s="29"/>
      <c r="C245" s="29"/>
      <c r="L245" s="34"/>
    </row>
    <row r="246" ht="12.75" customHeight="1" spans="2:12">
      <c r="B246" s="29"/>
      <c r="C246" s="29"/>
      <c r="L246" s="34"/>
    </row>
    <row r="247" ht="12.75" customHeight="1" spans="2:12">
      <c r="B247" s="29"/>
      <c r="C247" s="29"/>
      <c r="L247" s="34"/>
    </row>
    <row r="248" ht="12.75" customHeight="1" spans="2:12">
      <c r="B248" s="29"/>
      <c r="C248" s="29"/>
      <c r="L248" s="34"/>
    </row>
    <row r="249" ht="12.75" customHeight="1" spans="2:12">
      <c r="B249" s="29"/>
      <c r="C249" s="29"/>
      <c r="L249" s="34"/>
    </row>
    <row r="250" ht="12.75" customHeight="1" spans="2:12">
      <c r="B250" s="29"/>
      <c r="C250" s="29"/>
      <c r="L250" s="34"/>
    </row>
    <row r="251" ht="12.75" customHeight="1" spans="2:12">
      <c r="B251" s="29"/>
      <c r="C251" s="29"/>
      <c r="L251" s="34"/>
    </row>
    <row r="252" ht="12.75" customHeight="1" spans="2:12">
      <c r="B252" s="29"/>
      <c r="C252" s="29"/>
      <c r="L252" s="34"/>
    </row>
    <row r="253" ht="12.75" customHeight="1" spans="2:12">
      <c r="B253" s="29"/>
      <c r="C253" s="29"/>
      <c r="L253" s="34"/>
    </row>
    <row r="254" ht="12.75" customHeight="1" spans="2:12">
      <c r="B254" s="29"/>
      <c r="C254" s="29"/>
      <c r="L254" s="34"/>
    </row>
    <row r="255" ht="12.75" customHeight="1" spans="2:12">
      <c r="B255" s="29"/>
      <c r="C255" s="29"/>
      <c r="L255" s="34"/>
    </row>
    <row r="256" ht="12.75" customHeight="1" spans="2:12">
      <c r="B256" s="29"/>
      <c r="C256" s="29"/>
      <c r="L256" s="34"/>
    </row>
    <row r="257" ht="12.75" customHeight="1" spans="2:12">
      <c r="B257" s="29"/>
      <c r="C257" s="29"/>
      <c r="L257" s="34"/>
    </row>
    <row r="258" ht="12.75" customHeight="1" spans="2:12">
      <c r="B258" s="29"/>
      <c r="C258" s="29"/>
      <c r="L258" s="34"/>
    </row>
    <row r="259" ht="12.75" customHeight="1" spans="2:12">
      <c r="B259" s="29"/>
      <c r="C259" s="29"/>
      <c r="L259" s="34"/>
    </row>
    <row r="260" ht="12.75" customHeight="1" spans="2:12">
      <c r="B260" s="29"/>
      <c r="C260" s="29"/>
      <c r="L260" s="34"/>
    </row>
    <row r="261" ht="12.75" customHeight="1" spans="2:12">
      <c r="B261" s="29"/>
      <c r="C261" s="29"/>
      <c r="L261" s="34"/>
    </row>
    <row r="262" ht="12.75" customHeight="1" spans="2:12">
      <c r="B262" s="29"/>
      <c r="C262" s="29"/>
      <c r="L262" s="34"/>
    </row>
    <row r="263" ht="12.75" customHeight="1" spans="2:12">
      <c r="B263" s="29"/>
      <c r="C263" s="29"/>
      <c r="L263" s="34"/>
    </row>
    <row r="264" ht="12.75" customHeight="1" spans="2:12">
      <c r="B264" s="29"/>
      <c r="C264" s="29"/>
      <c r="L264" s="34"/>
    </row>
    <row r="265" ht="12.75" customHeight="1" spans="2:12">
      <c r="B265" s="29"/>
      <c r="C265" s="29"/>
      <c r="L265" s="34"/>
    </row>
    <row r="266" ht="12.75" customHeight="1" spans="2:12">
      <c r="B266" s="29"/>
      <c r="C266" s="29"/>
      <c r="L266" s="34"/>
    </row>
    <row r="267" ht="12.75" customHeight="1" spans="2:12">
      <c r="B267" s="29"/>
      <c r="C267" s="29"/>
      <c r="L267" s="34"/>
    </row>
    <row r="268" ht="12.75" customHeight="1" spans="2:12">
      <c r="B268" s="29"/>
      <c r="C268" s="29"/>
      <c r="L268" s="34"/>
    </row>
    <row r="269" ht="12.75" customHeight="1" spans="2:12">
      <c r="B269" s="29"/>
      <c r="C269" s="29"/>
      <c r="L269" s="34"/>
    </row>
    <row r="270" ht="12.75" customHeight="1" spans="2:12">
      <c r="B270" s="29"/>
      <c r="C270" s="29"/>
      <c r="L270" s="34"/>
    </row>
    <row r="271" ht="12.75" customHeight="1" spans="2:12">
      <c r="B271" s="29"/>
      <c r="C271" s="29"/>
      <c r="L271" s="34"/>
    </row>
    <row r="272" ht="12.75" customHeight="1" spans="2:12">
      <c r="B272" s="29"/>
      <c r="C272" s="29"/>
      <c r="L272" s="34"/>
    </row>
    <row r="273" ht="12.75" customHeight="1" spans="2:12">
      <c r="B273" s="29"/>
      <c r="C273" s="29"/>
      <c r="L273" s="34"/>
    </row>
    <row r="274" ht="12.75" customHeight="1" spans="2:12">
      <c r="B274" s="29"/>
      <c r="C274" s="29"/>
      <c r="L274" s="34"/>
    </row>
    <row r="275" ht="12.75" customHeight="1" spans="2:12">
      <c r="B275" s="29"/>
      <c r="C275" s="29"/>
      <c r="L275" s="34"/>
    </row>
    <row r="276" ht="12.75" customHeight="1" spans="2:12">
      <c r="B276" s="29"/>
      <c r="C276" s="29"/>
      <c r="L276" s="34"/>
    </row>
    <row r="277" ht="12.75" customHeight="1" spans="2:12">
      <c r="B277" s="29"/>
      <c r="C277" s="29"/>
      <c r="L277" s="34"/>
    </row>
    <row r="278" ht="12.75" customHeight="1" spans="2:12">
      <c r="B278" s="29"/>
      <c r="C278" s="29"/>
      <c r="L278" s="34"/>
    </row>
    <row r="279" ht="12.75" customHeight="1" spans="2:12">
      <c r="B279" s="29"/>
      <c r="C279" s="29"/>
      <c r="L279" s="34"/>
    </row>
    <row r="280" ht="12.75" customHeight="1" spans="2:12">
      <c r="B280" s="29"/>
      <c r="C280" s="29"/>
      <c r="L280" s="34"/>
    </row>
    <row r="281" ht="12.75" customHeight="1" spans="2:12">
      <c r="B281" s="29"/>
      <c r="C281" s="29"/>
      <c r="L281" s="34"/>
    </row>
    <row r="282" ht="12.75" customHeight="1" spans="2:12">
      <c r="B282" s="29"/>
      <c r="C282" s="29"/>
      <c r="L282" s="34"/>
    </row>
    <row r="283" ht="12.75" customHeight="1" spans="2:12">
      <c r="B283" s="29"/>
      <c r="C283" s="29"/>
      <c r="L283" s="34"/>
    </row>
    <row r="284" ht="12.75" customHeight="1" spans="2:12">
      <c r="B284" s="29"/>
      <c r="C284" s="29"/>
      <c r="L284" s="34"/>
    </row>
    <row r="285" ht="12.75" customHeight="1" spans="2:12">
      <c r="B285" s="29"/>
      <c r="C285" s="29"/>
      <c r="L285" s="34"/>
    </row>
    <row r="286" ht="12.75" customHeight="1" spans="2:12">
      <c r="B286" s="29"/>
      <c r="C286" s="29"/>
      <c r="L286" s="34"/>
    </row>
    <row r="287" ht="12.75" customHeight="1" spans="2:12">
      <c r="B287" s="29"/>
      <c r="C287" s="29"/>
      <c r="L287" s="34"/>
    </row>
    <row r="288" ht="12.75" customHeight="1" spans="2:12">
      <c r="B288" s="29"/>
      <c r="C288" s="29"/>
      <c r="L288" s="34"/>
    </row>
    <row r="289" ht="12.75" customHeight="1" spans="2:12">
      <c r="B289" s="29"/>
      <c r="C289" s="29"/>
      <c r="L289" s="34"/>
    </row>
    <row r="290" ht="12.75" customHeight="1" spans="2:12">
      <c r="B290" s="29"/>
      <c r="C290" s="29"/>
      <c r="L290" s="34"/>
    </row>
    <row r="291" ht="12.75" customHeight="1" spans="2:12">
      <c r="B291" s="29"/>
      <c r="C291" s="29"/>
      <c r="L291" s="34"/>
    </row>
    <row r="292" ht="12.75" customHeight="1" spans="2:12">
      <c r="B292" s="29"/>
      <c r="C292" s="29"/>
      <c r="L292" s="34"/>
    </row>
    <row r="293" ht="12.75" customHeight="1" spans="2:12">
      <c r="B293" s="29"/>
      <c r="C293" s="29"/>
      <c r="L293" s="34"/>
    </row>
    <row r="294" ht="12.75" customHeight="1" spans="2:12">
      <c r="B294" s="29"/>
      <c r="C294" s="29"/>
      <c r="L294" s="34"/>
    </row>
    <row r="295" ht="12.75" customHeight="1" spans="2:12">
      <c r="B295" s="29"/>
      <c r="C295" s="29"/>
      <c r="L295" s="34"/>
    </row>
    <row r="296" ht="12.75" customHeight="1" spans="2:12">
      <c r="B296" s="29"/>
      <c r="C296" s="29"/>
      <c r="L296" s="34"/>
    </row>
    <row r="297" ht="12.75" customHeight="1" spans="2:12">
      <c r="B297" s="29"/>
      <c r="C297" s="29"/>
      <c r="L297" s="34"/>
    </row>
    <row r="298" ht="12.75" customHeight="1" spans="2:12">
      <c r="B298" s="29"/>
      <c r="C298" s="29"/>
      <c r="L298" s="34"/>
    </row>
    <row r="299" ht="12.75" customHeight="1" spans="2:12">
      <c r="B299" s="29"/>
      <c r="C299" s="29"/>
      <c r="L299" s="34"/>
    </row>
    <row r="300" ht="12.75" customHeight="1" spans="2:12">
      <c r="B300" s="29"/>
      <c r="C300" s="29"/>
      <c r="L300" s="34"/>
    </row>
    <row r="301" ht="12.75" customHeight="1" spans="2:12">
      <c r="B301" s="29"/>
      <c r="C301" s="29"/>
      <c r="L301" s="34"/>
    </row>
    <row r="302" ht="12.75" customHeight="1" spans="2:12">
      <c r="B302" s="29"/>
      <c r="C302" s="29"/>
      <c r="L302" s="34"/>
    </row>
    <row r="303" ht="12.75" customHeight="1" spans="2:12">
      <c r="B303" s="29"/>
      <c r="C303" s="29"/>
      <c r="L303" s="34"/>
    </row>
    <row r="304" ht="12.75" customHeight="1" spans="2:12">
      <c r="B304" s="29"/>
      <c r="C304" s="29"/>
      <c r="L304" s="34"/>
    </row>
    <row r="305" ht="12.75" customHeight="1" spans="2:12">
      <c r="B305" s="29"/>
      <c r="C305" s="29"/>
      <c r="L305" s="34"/>
    </row>
    <row r="306" ht="12.75" customHeight="1" spans="2:12">
      <c r="B306" s="29"/>
      <c r="C306" s="29"/>
      <c r="L306" s="34"/>
    </row>
    <row r="307" ht="12.75" customHeight="1" spans="2:12">
      <c r="B307" s="29"/>
      <c r="C307" s="29"/>
      <c r="L307" s="34"/>
    </row>
    <row r="308" ht="12.75" customHeight="1" spans="2:12">
      <c r="B308" s="29"/>
      <c r="C308" s="29"/>
      <c r="L308" s="34"/>
    </row>
    <row r="309" ht="12.75" customHeight="1" spans="2:12">
      <c r="B309" s="29"/>
      <c r="C309" s="29"/>
      <c r="L309" s="34"/>
    </row>
    <row r="310" ht="12.75" customHeight="1" spans="2:12">
      <c r="B310" s="29"/>
      <c r="C310" s="29"/>
      <c r="L310" s="34"/>
    </row>
    <row r="311" ht="12.75" customHeight="1" spans="2:12">
      <c r="B311" s="29"/>
      <c r="C311" s="29"/>
      <c r="L311" s="34"/>
    </row>
    <row r="312" ht="12.75" customHeight="1" spans="2:12">
      <c r="B312" s="29"/>
      <c r="C312" s="29"/>
      <c r="L312" s="34"/>
    </row>
    <row r="313" ht="12.75" customHeight="1" spans="2:12">
      <c r="B313" s="29"/>
      <c r="C313" s="29"/>
      <c r="L313" s="34"/>
    </row>
    <row r="314" ht="12.75" customHeight="1" spans="2:12">
      <c r="B314" s="29"/>
      <c r="C314" s="29"/>
      <c r="L314" s="34"/>
    </row>
    <row r="315" ht="12.75" customHeight="1" spans="2:12">
      <c r="B315" s="29"/>
      <c r="C315" s="29"/>
      <c r="L315" s="34"/>
    </row>
    <row r="316" ht="12.75" customHeight="1" spans="2:12">
      <c r="B316" s="29"/>
      <c r="C316" s="29"/>
      <c r="L316" s="34"/>
    </row>
    <row r="317" ht="12.75" customHeight="1" spans="2:12">
      <c r="B317" s="29"/>
      <c r="C317" s="29"/>
      <c r="L317" s="34"/>
    </row>
    <row r="318" ht="12.75" customHeight="1" spans="2:12">
      <c r="B318" s="29"/>
      <c r="C318" s="29"/>
      <c r="L318" s="34"/>
    </row>
    <row r="319" ht="12.75" customHeight="1" spans="2:12">
      <c r="B319" s="29"/>
      <c r="C319" s="29"/>
      <c r="L319" s="34"/>
    </row>
    <row r="320" ht="12.75" customHeight="1" spans="2:12">
      <c r="B320" s="29"/>
      <c r="C320" s="29"/>
      <c r="L320" s="34"/>
    </row>
    <row r="321" ht="12.75" customHeight="1" spans="2:12">
      <c r="B321" s="29"/>
      <c r="C321" s="29"/>
      <c r="L321" s="34"/>
    </row>
    <row r="322" ht="12.75" customHeight="1" spans="2:12">
      <c r="B322" s="29"/>
      <c r="C322" s="29"/>
      <c r="L322" s="34"/>
    </row>
    <row r="323" ht="12.75" customHeight="1" spans="2:12">
      <c r="B323" s="29"/>
      <c r="C323" s="29"/>
      <c r="L323" s="34"/>
    </row>
    <row r="324" ht="12.75" customHeight="1" spans="2:12">
      <c r="B324" s="29"/>
      <c r="C324" s="29"/>
      <c r="L324" s="34"/>
    </row>
    <row r="325" ht="12.75" customHeight="1" spans="2:12">
      <c r="B325" s="29"/>
      <c r="C325" s="29"/>
      <c r="L325" s="34"/>
    </row>
    <row r="326" ht="12.75" customHeight="1" spans="2:12">
      <c r="B326" s="29"/>
      <c r="C326" s="29"/>
      <c r="L326" s="34"/>
    </row>
    <row r="327" ht="12.75" customHeight="1" spans="2:12">
      <c r="B327" s="29"/>
      <c r="C327" s="29"/>
      <c r="L327" s="34"/>
    </row>
    <row r="328" ht="12.75" customHeight="1" spans="2:12">
      <c r="B328" s="29"/>
      <c r="C328" s="29"/>
      <c r="L328" s="34"/>
    </row>
    <row r="329" ht="12.75" customHeight="1" spans="2:12">
      <c r="B329" s="29"/>
      <c r="C329" s="29"/>
      <c r="L329" s="34"/>
    </row>
    <row r="330" ht="12.75" customHeight="1" spans="2:12">
      <c r="B330" s="29"/>
      <c r="C330" s="29"/>
      <c r="L330" s="34"/>
    </row>
    <row r="331" ht="12.75" customHeight="1" spans="2:12">
      <c r="B331" s="29"/>
      <c r="C331" s="29"/>
      <c r="L331" s="34"/>
    </row>
    <row r="332" ht="12.75" customHeight="1" spans="2:12">
      <c r="B332" s="29"/>
      <c r="C332" s="29"/>
      <c r="L332" s="34"/>
    </row>
    <row r="333" ht="12.75" customHeight="1" spans="2:12">
      <c r="B333" s="29"/>
      <c r="C333" s="29"/>
      <c r="L333" s="34"/>
    </row>
    <row r="334" ht="12.75" customHeight="1" spans="2:12">
      <c r="B334" s="29"/>
      <c r="C334" s="29"/>
      <c r="L334" s="34"/>
    </row>
    <row r="335" ht="12.75" customHeight="1" spans="2:12">
      <c r="B335" s="29"/>
      <c r="C335" s="29"/>
      <c r="L335" s="34"/>
    </row>
    <row r="336" ht="12.75" customHeight="1" spans="2:12">
      <c r="B336" s="29"/>
      <c r="C336" s="29"/>
      <c r="L336" s="34"/>
    </row>
    <row r="337" ht="12.75" customHeight="1" spans="2:12">
      <c r="B337" s="29"/>
      <c r="C337" s="29"/>
      <c r="L337" s="34"/>
    </row>
    <row r="338" ht="12.75" customHeight="1" spans="2:12">
      <c r="B338" s="29"/>
      <c r="C338" s="29"/>
      <c r="L338" s="34"/>
    </row>
    <row r="339" ht="12.75" customHeight="1" spans="2:12">
      <c r="B339" s="29"/>
      <c r="C339" s="29"/>
      <c r="L339" s="34"/>
    </row>
    <row r="340" ht="12.75" customHeight="1" spans="2:12">
      <c r="B340" s="29"/>
      <c r="C340" s="29"/>
      <c r="L340" s="34"/>
    </row>
    <row r="341" ht="12.75" customHeight="1" spans="2:12">
      <c r="B341" s="29"/>
      <c r="C341" s="29"/>
      <c r="L341" s="34"/>
    </row>
    <row r="342" ht="12.75" customHeight="1" spans="2:12">
      <c r="B342" s="29"/>
      <c r="C342" s="29"/>
      <c r="L342" s="34"/>
    </row>
    <row r="343" ht="12.75" customHeight="1" spans="2:12">
      <c r="B343" s="29"/>
      <c r="C343" s="29"/>
      <c r="L343" s="34"/>
    </row>
    <row r="344" ht="12.75" customHeight="1" spans="2:12">
      <c r="B344" s="29"/>
      <c r="C344" s="29"/>
      <c r="L344" s="34"/>
    </row>
    <row r="345" ht="12.75" customHeight="1" spans="2:12">
      <c r="B345" s="29"/>
      <c r="C345" s="29"/>
      <c r="L345" s="34"/>
    </row>
    <row r="346" ht="12.75" customHeight="1" spans="2:12">
      <c r="B346" s="29"/>
      <c r="C346" s="29"/>
      <c r="L346" s="34"/>
    </row>
    <row r="347" ht="12.75" customHeight="1" spans="2:12">
      <c r="B347" s="29"/>
      <c r="C347" s="29"/>
      <c r="L347" s="34"/>
    </row>
    <row r="348" ht="12.75" customHeight="1" spans="2:12">
      <c r="B348" s="29"/>
      <c r="C348" s="29"/>
      <c r="L348" s="34"/>
    </row>
    <row r="349" ht="12.75" customHeight="1" spans="2:12">
      <c r="B349" s="29"/>
      <c r="C349" s="29"/>
      <c r="L349" s="34"/>
    </row>
    <row r="350" ht="12.75" customHeight="1" spans="2:12">
      <c r="B350" s="29"/>
      <c r="C350" s="29"/>
      <c r="L350" s="34"/>
    </row>
    <row r="351" ht="12.75" customHeight="1" spans="2:12">
      <c r="B351" s="29"/>
      <c r="C351" s="29"/>
      <c r="L351" s="34"/>
    </row>
    <row r="352" ht="12.75" customHeight="1" spans="2:12">
      <c r="B352" s="29"/>
      <c r="C352" s="29"/>
      <c r="L352" s="34"/>
    </row>
    <row r="353" ht="12.75" customHeight="1" spans="2:12">
      <c r="B353" s="29"/>
      <c r="C353" s="29"/>
      <c r="L353" s="34"/>
    </row>
    <row r="354" ht="12.75" customHeight="1" spans="2:12">
      <c r="B354" s="29"/>
      <c r="C354" s="29"/>
      <c r="L354" s="34"/>
    </row>
    <row r="355" ht="12.75" customHeight="1" spans="2:12">
      <c r="B355" s="29"/>
      <c r="C355" s="29"/>
      <c r="L355" s="34"/>
    </row>
    <row r="356" ht="12.75" customHeight="1" spans="2:12">
      <c r="B356" s="29"/>
      <c r="C356" s="29"/>
      <c r="L356" s="34"/>
    </row>
    <row r="357" ht="12.75" customHeight="1" spans="2:12">
      <c r="B357" s="29"/>
      <c r="C357" s="29"/>
      <c r="L357" s="34"/>
    </row>
    <row r="358" ht="12.75" customHeight="1" spans="2:12">
      <c r="B358" s="29"/>
      <c r="C358" s="29"/>
      <c r="L358" s="34"/>
    </row>
    <row r="359" ht="12.75" customHeight="1" spans="2:12">
      <c r="B359" s="29"/>
      <c r="C359" s="29"/>
      <c r="L359" s="34"/>
    </row>
    <row r="360" ht="12.75" customHeight="1" spans="2:12">
      <c r="B360" s="29"/>
      <c r="C360" s="29"/>
      <c r="L360" s="34"/>
    </row>
    <row r="361" ht="12.75" customHeight="1" spans="2:12">
      <c r="B361" s="29"/>
      <c r="C361" s="29"/>
      <c r="L361" s="34"/>
    </row>
    <row r="362" ht="12.75" customHeight="1" spans="2:12">
      <c r="B362" s="29"/>
      <c r="C362" s="29"/>
      <c r="L362" s="34"/>
    </row>
    <row r="363" ht="12.75" customHeight="1" spans="2:12">
      <c r="B363" s="29"/>
      <c r="C363" s="29"/>
      <c r="L363" s="34"/>
    </row>
    <row r="364" ht="12.75" customHeight="1" spans="2:12">
      <c r="B364" s="29"/>
      <c r="C364" s="29"/>
      <c r="L364" s="34"/>
    </row>
    <row r="365" ht="12.75" customHeight="1" spans="2:12">
      <c r="B365" s="29"/>
      <c r="C365" s="29"/>
      <c r="L365" s="34"/>
    </row>
    <row r="366" ht="12.75" customHeight="1" spans="2:12">
      <c r="B366" s="29"/>
      <c r="C366" s="29"/>
      <c r="L366" s="34"/>
    </row>
    <row r="367" ht="12.75" customHeight="1" spans="2:12">
      <c r="B367" s="29"/>
      <c r="C367" s="29"/>
      <c r="L367" s="34"/>
    </row>
    <row r="368" ht="12.75" customHeight="1" spans="2:12">
      <c r="B368" s="29"/>
      <c r="C368" s="29"/>
      <c r="L368" s="34"/>
    </row>
    <row r="369" ht="12.75" customHeight="1" spans="2:12">
      <c r="B369" s="29"/>
      <c r="C369" s="29"/>
      <c r="L369" s="34"/>
    </row>
    <row r="370" ht="12.75" customHeight="1" spans="2:12">
      <c r="B370" s="29"/>
      <c r="C370" s="29"/>
      <c r="L370" s="34"/>
    </row>
    <row r="371" ht="12.75" customHeight="1" spans="2:12">
      <c r="B371" s="29"/>
      <c r="C371" s="29"/>
      <c r="L371" s="34"/>
    </row>
    <row r="372" ht="12.75" customHeight="1" spans="2:12">
      <c r="B372" s="29"/>
      <c r="C372" s="29"/>
      <c r="L372" s="34"/>
    </row>
    <row r="373" ht="12.75" customHeight="1" spans="2:12">
      <c r="B373" s="29"/>
      <c r="C373" s="29"/>
      <c r="L373" s="34"/>
    </row>
    <row r="374" ht="12.75" customHeight="1" spans="2:12">
      <c r="B374" s="29"/>
      <c r="C374" s="29"/>
      <c r="L374" s="34"/>
    </row>
    <row r="375" ht="12.75" customHeight="1" spans="2:12">
      <c r="B375" s="29"/>
      <c r="C375" s="29"/>
      <c r="L375" s="34"/>
    </row>
    <row r="376" ht="12.75" customHeight="1" spans="2:12">
      <c r="B376" s="29"/>
      <c r="C376" s="29"/>
      <c r="L376" s="34"/>
    </row>
    <row r="377" ht="12.75" customHeight="1" spans="2:12">
      <c r="B377" s="29"/>
      <c r="C377" s="29"/>
      <c r="L377" s="34"/>
    </row>
    <row r="378" ht="12.75" customHeight="1" spans="2:12">
      <c r="B378" s="29"/>
      <c r="C378" s="29"/>
      <c r="L378" s="34"/>
    </row>
    <row r="379" ht="12.75" customHeight="1" spans="2:12">
      <c r="B379" s="29"/>
      <c r="C379" s="29"/>
      <c r="L379" s="34"/>
    </row>
    <row r="380" ht="12.75" customHeight="1" spans="2:12">
      <c r="B380" s="29"/>
      <c r="C380" s="29"/>
      <c r="L380" s="34"/>
    </row>
    <row r="381" ht="12.75" customHeight="1" spans="2:12">
      <c r="B381" s="29"/>
      <c r="C381" s="29"/>
      <c r="L381" s="34"/>
    </row>
    <row r="382" ht="12.75" customHeight="1" spans="2:12">
      <c r="B382" s="29"/>
      <c r="C382" s="29"/>
      <c r="L382" s="34"/>
    </row>
    <row r="383" ht="12.75" customHeight="1" spans="2:12">
      <c r="B383" s="29"/>
      <c r="C383" s="29"/>
      <c r="L383" s="34"/>
    </row>
    <row r="384" ht="12.75" customHeight="1" spans="2:12">
      <c r="B384" s="29"/>
      <c r="C384" s="29"/>
      <c r="L384" s="34"/>
    </row>
    <row r="385" ht="12.75" customHeight="1" spans="2:12">
      <c r="B385" s="29"/>
      <c r="C385" s="29"/>
      <c r="L385" s="34"/>
    </row>
    <row r="386" ht="12.75" customHeight="1" spans="2:12">
      <c r="B386" s="29"/>
      <c r="C386" s="29"/>
      <c r="L386" s="34"/>
    </row>
    <row r="387" ht="12.75" customHeight="1" spans="2:12">
      <c r="B387" s="29"/>
      <c r="C387" s="29"/>
      <c r="L387" s="34"/>
    </row>
    <row r="388" ht="12.75" customHeight="1" spans="2:12">
      <c r="B388" s="29"/>
      <c r="C388" s="29"/>
      <c r="L388" s="34"/>
    </row>
    <row r="389" ht="12.75" customHeight="1" spans="2:12">
      <c r="B389" s="29"/>
      <c r="C389" s="29"/>
      <c r="L389" s="34"/>
    </row>
    <row r="390" ht="12.75" customHeight="1" spans="2:12">
      <c r="B390" s="29"/>
      <c r="C390" s="29"/>
      <c r="L390" s="34"/>
    </row>
    <row r="391" ht="12.75" customHeight="1" spans="2:12">
      <c r="B391" s="29"/>
      <c r="C391" s="29"/>
      <c r="L391" s="34"/>
    </row>
    <row r="392" ht="12.75" customHeight="1" spans="2:12">
      <c r="B392" s="29"/>
      <c r="C392" s="29"/>
      <c r="L392" s="34"/>
    </row>
    <row r="393" ht="12.75" customHeight="1" spans="2:12">
      <c r="B393" s="29"/>
      <c r="C393" s="29"/>
      <c r="L393" s="34"/>
    </row>
    <row r="394" ht="12.75" customHeight="1" spans="2:12">
      <c r="B394" s="29"/>
      <c r="C394" s="29"/>
      <c r="L394" s="34"/>
    </row>
    <row r="395" ht="12.75" customHeight="1" spans="2:12">
      <c r="B395" s="29"/>
      <c r="C395" s="29"/>
      <c r="L395" s="34"/>
    </row>
    <row r="396" ht="12.75" customHeight="1" spans="2:12">
      <c r="B396" s="29"/>
      <c r="C396" s="29"/>
      <c r="L396" s="34"/>
    </row>
    <row r="397" ht="12.75" customHeight="1" spans="2:12">
      <c r="B397" s="29"/>
      <c r="C397" s="29"/>
      <c r="L397" s="34"/>
    </row>
    <row r="398" ht="12.75" customHeight="1" spans="2:12">
      <c r="B398" s="29"/>
      <c r="C398" s="29"/>
      <c r="L398" s="34"/>
    </row>
    <row r="399" ht="12.75" customHeight="1" spans="2:12">
      <c r="B399" s="29"/>
      <c r="C399" s="29"/>
      <c r="L399" s="34"/>
    </row>
    <row r="400" ht="12.75" customHeight="1" spans="2:12">
      <c r="B400" s="29"/>
      <c r="C400" s="29"/>
      <c r="L400" s="34"/>
    </row>
    <row r="401" ht="12.75" customHeight="1" spans="2:12">
      <c r="B401" s="29"/>
      <c r="C401" s="29"/>
      <c r="L401" s="34"/>
    </row>
    <row r="402" ht="12.75" customHeight="1" spans="2:12">
      <c r="B402" s="29"/>
      <c r="C402" s="29"/>
      <c r="L402" s="34"/>
    </row>
    <row r="403" ht="12.75" customHeight="1" spans="2:12">
      <c r="B403" s="29"/>
      <c r="C403" s="29"/>
      <c r="L403" s="34"/>
    </row>
    <row r="404" ht="12.75" customHeight="1" spans="2:12">
      <c r="B404" s="29"/>
      <c r="C404" s="29"/>
      <c r="L404" s="34"/>
    </row>
    <row r="405" ht="12.75" customHeight="1" spans="2:12">
      <c r="B405" s="29"/>
      <c r="C405" s="29"/>
      <c r="L405" s="34"/>
    </row>
    <row r="406" ht="12.75" customHeight="1" spans="2:12">
      <c r="B406" s="29"/>
      <c r="C406" s="29"/>
      <c r="L406" s="34"/>
    </row>
    <row r="407" ht="12.75" customHeight="1" spans="2:12">
      <c r="B407" s="29"/>
      <c r="C407" s="29"/>
      <c r="L407" s="34"/>
    </row>
    <row r="408" ht="12.75" customHeight="1" spans="2:12">
      <c r="B408" s="29"/>
      <c r="C408" s="29"/>
      <c r="L408" s="34"/>
    </row>
    <row r="409" ht="12.75" customHeight="1" spans="2:12">
      <c r="B409" s="29"/>
      <c r="C409" s="29"/>
      <c r="L409" s="34"/>
    </row>
    <row r="410" ht="12.75" customHeight="1" spans="2:12">
      <c r="B410" s="29"/>
      <c r="C410" s="29"/>
      <c r="L410" s="34"/>
    </row>
    <row r="411" ht="12.75" customHeight="1" spans="2:12">
      <c r="B411" s="29"/>
      <c r="C411" s="29"/>
      <c r="L411" s="34"/>
    </row>
    <row r="412" ht="12.75" customHeight="1" spans="2:12">
      <c r="B412" s="29"/>
      <c r="C412" s="29"/>
      <c r="L412" s="34"/>
    </row>
    <row r="413" ht="12.75" customHeight="1" spans="2:12">
      <c r="B413" s="29"/>
      <c r="C413" s="29"/>
      <c r="L413" s="34"/>
    </row>
    <row r="414" ht="12.75" customHeight="1" spans="2:12">
      <c r="B414" s="29"/>
      <c r="C414" s="29"/>
      <c r="L414" s="34"/>
    </row>
    <row r="415" ht="12.75" customHeight="1" spans="2:12">
      <c r="B415" s="29"/>
      <c r="C415" s="29"/>
      <c r="L415" s="34"/>
    </row>
    <row r="416" ht="12.75" customHeight="1" spans="2:12">
      <c r="B416" s="29"/>
      <c r="C416" s="29"/>
      <c r="L416" s="34"/>
    </row>
    <row r="417" ht="12.75" customHeight="1" spans="2:12">
      <c r="B417" s="29"/>
      <c r="C417" s="29"/>
      <c r="L417" s="34"/>
    </row>
    <row r="418" ht="12.75" customHeight="1" spans="2:12">
      <c r="B418" s="29"/>
      <c r="C418" s="29"/>
      <c r="L418" s="34"/>
    </row>
    <row r="419" ht="12.75" customHeight="1" spans="2:12">
      <c r="B419" s="29"/>
      <c r="C419" s="29"/>
      <c r="L419" s="34"/>
    </row>
    <row r="420" ht="12.75" customHeight="1" spans="2:12">
      <c r="B420" s="29"/>
      <c r="C420" s="29"/>
      <c r="L420" s="34"/>
    </row>
    <row r="421" ht="12.75" customHeight="1" spans="2:12">
      <c r="B421" s="29"/>
      <c r="C421" s="29"/>
      <c r="L421" s="34"/>
    </row>
    <row r="422" ht="12.75" customHeight="1" spans="2:12">
      <c r="B422" s="29"/>
      <c r="C422" s="29"/>
      <c r="L422" s="34"/>
    </row>
    <row r="423" ht="12.75" customHeight="1" spans="2:12">
      <c r="B423" s="29"/>
      <c r="C423" s="29"/>
      <c r="L423" s="34"/>
    </row>
    <row r="424" ht="12.75" customHeight="1" spans="2:12">
      <c r="B424" s="29"/>
      <c r="C424" s="29"/>
      <c r="L424" s="34"/>
    </row>
    <row r="425" ht="12.75" customHeight="1" spans="2:12">
      <c r="B425" s="29"/>
      <c r="C425" s="29"/>
      <c r="L425" s="34"/>
    </row>
    <row r="426" ht="12.75" customHeight="1" spans="2:12">
      <c r="B426" s="29"/>
      <c r="C426" s="29"/>
      <c r="L426" s="34"/>
    </row>
    <row r="427" ht="12.75" customHeight="1" spans="2:12">
      <c r="B427" s="29"/>
      <c r="C427" s="29"/>
      <c r="L427" s="34"/>
    </row>
    <row r="428" ht="12.75" customHeight="1" spans="2:12">
      <c r="B428" s="29"/>
      <c r="C428" s="29"/>
      <c r="L428" s="34"/>
    </row>
    <row r="429" ht="12.75" customHeight="1" spans="2:12">
      <c r="B429" s="29"/>
      <c r="C429" s="29"/>
      <c r="L429" s="34"/>
    </row>
    <row r="430" ht="12.75" customHeight="1" spans="2:12">
      <c r="B430" s="29"/>
      <c r="C430" s="29"/>
      <c r="L430" s="34"/>
    </row>
    <row r="431" ht="12.75" customHeight="1" spans="2:12">
      <c r="B431" s="29"/>
      <c r="C431" s="29"/>
      <c r="L431" s="34"/>
    </row>
    <row r="432" ht="12.75" customHeight="1" spans="2:12">
      <c r="B432" s="29"/>
      <c r="C432" s="29"/>
      <c r="L432" s="34"/>
    </row>
    <row r="433" ht="12.75" customHeight="1" spans="2:12">
      <c r="B433" s="29"/>
      <c r="C433" s="29"/>
      <c r="L433" s="34"/>
    </row>
    <row r="434" ht="12.75" customHeight="1" spans="2:12">
      <c r="B434" s="29"/>
      <c r="C434" s="29"/>
      <c r="L434" s="34"/>
    </row>
    <row r="435" ht="12.75" customHeight="1" spans="2:12">
      <c r="B435" s="29"/>
      <c r="C435" s="29"/>
      <c r="L435" s="34"/>
    </row>
    <row r="436" ht="12.75" customHeight="1" spans="2:12">
      <c r="B436" s="29"/>
      <c r="C436" s="29"/>
      <c r="L436" s="34"/>
    </row>
    <row r="437" ht="12.75" customHeight="1" spans="2:12">
      <c r="B437" s="29"/>
      <c r="C437" s="29"/>
      <c r="L437" s="34"/>
    </row>
    <row r="438" ht="12.75" customHeight="1" spans="2:12">
      <c r="B438" s="29"/>
      <c r="C438" s="29"/>
      <c r="L438" s="34"/>
    </row>
    <row r="439" ht="12.75" customHeight="1" spans="2:12">
      <c r="B439" s="29"/>
      <c r="C439" s="29"/>
      <c r="L439" s="34"/>
    </row>
    <row r="440" ht="12.75" customHeight="1" spans="2:12">
      <c r="B440" s="29"/>
      <c r="C440" s="29"/>
      <c r="L440" s="34"/>
    </row>
    <row r="441" ht="12.75" customHeight="1" spans="2:12">
      <c r="B441" s="29"/>
      <c r="C441" s="29"/>
      <c r="L441" s="34"/>
    </row>
    <row r="442" ht="12.75" customHeight="1" spans="2:12">
      <c r="B442" s="29"/>
      <c r="C442" s="29"/>
      <c r="L442" s="34"/>
    </row>
    <row r="443" ht="12.75" customHeight="1" spans="2:12">
      <c r="B443" s="29"/>
      <c r="C443" s="29"/>
      <c r="L443" s="34"/>
    </row>
    <row r="444" ht="12.75" customHeight="1" spans="2:12">
      <c r="B444" s="29"/>
      <c r="C444" s="29"/>
      <c r="L444" s="34"/>
    </row>
    <row r="445" ht="12.75" customHeight="1" spans="2:12">
      <c r="B445" s="29"/>
      <c r="C445" s="29"/>
      <c r="L445" s="34"/>
    </row>
    <row r="446" ht="12.75" customHeight="1" spans="2:12">
      <c r="B446" s="29"/>
      <c r="C446" s="29"/>
      <c r="L446" s="34"/>
    </row>
    <row r="447" ht="12.75" customHeight="1" spans="2:12">
      <c r="B447" s="29"/>
      <c r="C447" s="29"/>
      <c r="L447" s="34"/>
    </row>
    <row r="448" ht="12.75" customHeight="1" spans="2:12">
      <c r="B448" s="29"/>
      <c r="C448" s="29"/>
      <c r="L448" s="34"/>
    </row>
    <row r="449" ht="12.75" customHeight="1" spans="2:12">
      <c r="B449" s="29"/>
      <c r="C449" s="29"/>
      <c r="L449" s="34"/>
    </row>
    <row r="450" ht="12.75" customHeight="1" spans="2:12">
      <c r="B450" s="29"/>
      <c r="C450" s="29"/>
      <c r="L450" s="34"/>
    </row>
    <row r="451" ht="12.75" customHeight="1" spans="2:12">
      <c r="B451" s="29"/>
      <c r="C451" s="29"/>
      <c r="L451" s="34"/>
    </row>
    <row r="452" ht="12.75" customHeight="1" spans="2:12">
      <c r="B452" s="29"/>
      <c r="C452" s="29"/>
      <c r="L452" s="34"/>
    </row>
    <row r="453" ht="12.75" customHeight="1" spans="2:12">
      <c r="B453" s="29"/>
      <c r="C453" s="29"/>
      <c r="L453" s="34"/>
    </row>
    <row r="454" ht="12.75" customHeight="1" spans="2:12">
      <c r="B454" s="29"/>
      <c r="C454" s="29"/>
      <c r="L454" s="34"/>
    </row>
    <row r="455" ht="12.75" customHeight="1" spans="2:12">
      <c r="B455" s="29"/>
      <c r="C455" s="29"/>
      <c r="L455" s="34"/>
    </row>
    <row r="456" ht="12.75" customHeight="1" spans="2:12">
      <c r="B456" s="29"/>
      <c r="C456" s="29"/>
      <c r="L456" s="34"/>
    </row>
    <row r="457" ht="12.75" customHeight="1" spans="2:12">
      <c r="B457" s="29"/>
      <c r="C457" s="29"/>
      <c r="L457" s="34"/>
    </row>
    <row r="458" ht="12.75" customHeight="1" spans="2:12">
      <c r="B458" s="29"/>
      <c r="C458" s="29"/>
      <c r="L458" s="34"/>
    </row>
    <row r="459" ht="12.75" customHeight="1" spans="2:12">
      <c r="B459" s="29"/>
      <c r="C459" s="29"/>
      <c r="L459" s="34"/>
    </row>
    <row r="460" ht="12.75" customHeight="1" spans="2:12">
      <c r="B460" s="29"/>
      <c r="C460" s="29"/>
      <c r="L460" s="34"/>
    </row>
    <row r="461" ht="12.75" customHeight="1" spans="2:12">
      <c r="B461" s="29"/>
      <c r="C461" s="29"/>
      <c r="L461" s="34"/>
    </row>
    <row r="462" ht="12.75" customHeight="1" spans="2:12">
      <c r="B462" s="29"/>
      <c r="C462" s="29"/>
      <c r="L462" s="34"/>
    </row>
    <row r="463" ht="12.75" customHeight="1" spans="2:12">
      <c r="B463" s="29"/>
      <c r="C463" s="29"/>
      <c r="L463" s="34"/>
    </row>
    <row r="464" ht="12.75" customHeight="1" spans="2:12">
      <c r="B464" s="29"/>
      <c r="C464" s="29"/>
      <c r="L464" s="34"/>
    </row>
    <row r="465" ht="12.75" customHeight="1" spans="2:12">
      <c r="B465" s="29"/>
      <c r="C465" s="29"/>
      <c r="L465" s="34"/>
    </row>
    <row r="466" ht="12.75" customHeight="1" spans="2:12">
      <c r="B466" s="29"/>
      <c r="C466" s="29"/>
      <c r="L466" s="34"/>
    </row>
    <row r="467" ht="12.75" customHeight="1" spans="2:12">
      <c r="B467" s="29"/>
      <c r="C467" s="29"/>
      <c r="L467" s="34"/>
    </row>
    <row r="468" ht="12.75" customHeight="1" spans="2:12">
      <c r="B468" s="29"/>
      <c r="C468" s="29"/>
      <c r="L468" s="34"/>
    </row>
    <row r="469" ht="12.75" customHeight="1" spans="2:12">
      <c r="B469" s="29"/>
      <c r="C469" s="29"/>
      <c r="L469" s="34"/>
    </row>
    <row r="470" ht="12.75" customHeight="1" spans="2:12">
      <c r="B470" s="29"/>
      <c r="C470" s="29"/>
      <c r="L470" s="34"/>
    </row>
    <row r="471" ht="12.75" customHeight="1" spans="2:12">
      <c r="B471" s="29"/>
      <c r="C471" s="29"/>
      <c r="L471" s="34"/>
    </row>
    <row r="472" ht="12.75" customHeight="1" spans="2:12">
      <c r="B472" s="29"/>
      <c r="C472" s="29"/>
      <c r="L472" s="34"/>
    </row>
    <row r="473" ht="12.75" customHeight="1" spans="2:12">
      <c r="B473" s="29"/>
      <c r="C473" s="29"/>
      <c r="L473" s="34"/>
    </row>
    <row r="474" ht="12.75" customHeight="1" spans="2:12">
      <c r="B474" s="29"/>
      <c r="C474" s="29"/>
      <c r="L474" s="34"/>
    </row>
    <row r="475" ht="12.75" customHeight="1" spans="2:12">
      <c r="B475" s="29"/>
      <c r="C475" s="29"/>
      <c r="L475" s="34"/>
    </row>
    <row r="476" ht="12.75" customHeight="1" spans="2:12">
      <c r="B476" s="29"/>
      <c r="C476" s="29"/>
      <c r="L476" s="34"/>
    </row>
    <row r="477" ht="12.75" customHeight="1" spans="2:12">
      <c r="B477" s="29"/>
      <c r="C477" s="29"/>
      <c r="L477" s="34"/>
    </row>
    <row r="478" ht="12.75" customHeight="1" spans="2:12">
      <c r="B478" s="29"/>
      <c r="C478" s="29"/>
      <c r="L478" s="34"/>
    </row>
    <row r="479" ht="12.75" customHeight="1" spans="2:12">
      <c r="B479" s="29"/>
      <c r="C479" s="29"/>
      <c r="L479" s="34"/>
    </row>
    <row r="480" ht="12.75" customHeight="1" spans="2:12">
      <c r="B480" s="29"/>
      <c r="C480" s="29"/>
      <c r="L480" s="34"/>
    </row>
    <row r="481" ht="12.75" customHeight="1" spans="2:12">
      <c r="B481" s="29"/>
      <c r="C481" s="29"/>
      <c r="L481" s="34"/>
    </row>
    <row r="482" ht="12.75" customHeight="1" spans="2:12">
      <c r="B482" s="29"/>
      <c r="C482" s="29"/>
      <c r="L482" s="34"/>
    </row>
    <row r="483" ht="12.75" customHeight="1" spans="2:12">
      <c r="B483" s="29"/>
      <c r="C483" s="29"/>
      <c r="L483" s="34"/>
    </row>
    <row r="484" ht="12.75" customHeight="1" spans="2:12">
      <c r="B484" s="29"/>
      <c r="C484" s="29"/>
      <c r="L484" s="34"/>
    </row>
    <row r="485" ht="12.75" customHeight="1" spans="2:12">
      <c r="B485" s="29"/>
      <c r="C485" s="29"/>
      <c r="L485" s="34"/>
    </row>
    <row r="486" ht="12.75" customHeight="1" spans="2:12">
      <c r="B486" s="29"/>
      <c r="C486" s="29"/>
      <c r="L486" s="34"/>
    </row>
    <row r="487" ht="12.75" customHeight="1" spans="2:12">
      <c r="B487" s="29"/>
      <c r="C487" s="29"/>
      <c r="L487" s="34"/>
    </row>
    <row r="488" ht="12.75" customHeight="1" spans="2:12">
      <c r="B488" s="29"/>
      <c r="C488" s="29"/>
      <c r="L488" s="34"/>
    </row>
    <row r="489" ht="12.75" customHeight="1" spans="2:12">
      <c r="B489" s="29"/>
      <c r="C489" s="29"/>
      <c r="L489" s="34"/>
    </row>
    <row r="490" ht="12.75" customHeight="1" spans="2:12">
      <c r="B490" s="29"/>
      <c r="C490" s="29"/>
      <c r="L490" s="34"/>
    </row>
    <row r="491" ht="12.75" customHeight="1" spans="2:12">
      <c r="B491" s="29"/>
      <c r="C491" s="29"/>
      <c r="L491" s="34"/>
    </row>
    <row r="492" ht="12.75" customHeight="1" spans="2:12">
      <c r="B492" s="29"/>
      <c r="C492" s="29"/>
      <c r="L492" s="34"/>
    </row>
    <row r="493" ht="12.75" customHeight="1" spans="2:12">
      <c r="B493" s="29"/>
      <c r="C493" s="29"/>
      <c r="L493" s="34"/>
    </row>
    <row r="494" ht="12.75" customHeight="1" spans="2:12">
      <c r="B494" s="29"/>
      <c r="C494" s="29"/>
      <c r="L494" s="34"/>
    </row>
    <row r="495" ht="12.75" customHeight="1" spans="2:12">
      <c r="B495" s="29"/>
      <c r="C495" s="29"/>
      <c r="L495" s="34"/>
    </row>
    <row r="496" ht="12.75" customHeight="1" spans="2:12">
      <c r="B496" s="29"/>
      <c r="C496" s="29"/>
      <c r="L496" s="34"/>
    </row>
    <row r="497" ht="12.75" customHeight="1" spans="2:12">
      <c r="B497" s="29"/>
      <c r="C497" s="29"/>
      <c r="L497" s="34"/>
    </row>
    <row r="498" ht="12.75" customHeight="1" spans="2:12">
      <c r="B498" s="29"/>
      <c r="C498" s="29"/>
      <c r="L498" s="34"/>
    </row>
    <row r="499" ht="12.75" customHeight="1" spans="2:12">
      <c r="B499" s="29"/>
      <c r="C499" s="29"/>
      <c r="L499" s="34"/>
    </row>
    <row r="500" ht="12.75" customHeight="1" spans="2:12">
      <c r="B500" s="29"/>
      <c r="C500" s="29"/>
      <c r="L500" s="34"/>
    </row>
    <row r="501" ht="12.75" customHeight="1" spans="2:12">
      <c r="B501" s="29"/>
      <c r="C501" s="29"/>
      <c r="L501" s="34"/>
    </row>
    <row r="502" ht="12.75" customHeight="1" spans="2:12">
      <c r="B502" s="29"/>
      <c r="C502" s="29"/>
      <c r="L502" s="34"/>
    </row>
    <row r="503" ht="12.75" customHeight="1" spans="2:12">
      <c r="B503" s="29"/>
      <c r="C503" s="29"/>
      <c r="L503" s="34"/>
    </row>
    <row r="504" ht="12.75" customHeight="1" spans="2:12">
      <c r="B504" s="29"/>
      <c r="C504" s="29"/>
      <c r="L504" s="34"/>
    </row>
    <row r="505" ht="12.75" customHeight="1" spans="2:12">
      <c r="B505" s="29"/>
      <c r="C505" s="29"/>
      <c r="L505" s="34"/>
    </row>
    <row r="506" ht="12.75" customHeight="1" spans="2:12">
      <c r="B506" s="29"/>
      <c r="C506" s="29"/>
      <c r="L506" s="34"/>
    </row>
    <row r="507" ht="12.75" customHeight="1" spans="2:12">
      <c r="B507" s="29"/>
      <c r="C507" s="29"/>
      <c r="L507" s="34"/>
    </row>
    <row r="508" ht="12.75" customHeight="1" spans="2:12">
      <c r="B508" s="29"/>
      <c r="C508" s="29"/>
      <c r="L508" s="34"/>
    </row>
    <row r="509" ht="12.75" customHeight="1" spans="2:12">
      <c r="B509" s="29"/>
      <c r="C509" s="29"/>
      <c r="L509" s="34"/>
    </row>
    <row r="510" ht="12.75" customHeight="1" spans="2:12">
      <c r="B510" s="29"/>
      <c r="C510" s="29"/>
      <c r="L510" s="34"/>
    </row>
    <row r="511" ht="12.75" customHeight="1" spans="2:12">
      <c r="B511" s="29"/>
      <c r="C511" s="29"/>
      <c r="L511" s="34"/>
    </row>
    <row r="512" ht="12.75" customHeight="1" spans="2:12">
      <c r="B512" s="29"/>
      <c r="C512" s="29"/>
      <c r="L512" s="34"/>
    </row>
    <row r="513" ht="12.75" customHeight="1" spans="2:12">
      <c r="B513" s="29"/>
      <c r="C513" s="29"/>
      <c r="L513" s="34"/>
    </row>
    <row r="514" ht="12.75" customHeight="1" spans="2:12">
      <c r="B514" s="29"/>
      <c r="C514" s="29"/>
      <c r="L514" s="34"/>
    </row>
    <row r="515" ht="12.75" customHeight="1" spans="2:12">
      <c r="B515" s="29"/>
      <c r="C515" s="29"/>
      <c r="L515" s="34"/>
    </row>
    <row r="516" ht="12.75" customHeight="1" spans="2:12">
      <c r="B516" s="29"/>
      <c r="C516" s="29"/>
      <c r="L516" s="34"/>
    </row>
    <row r="517" ht="12.75" customHeight="1" spans="2:12">
      <c r="B517" s="29"/>
      <c r="C517" s="29"/>
      <c r="L517" s="34"/>
    </row>
    <row r="518" ht="12.75" customHeight="1" spans="2:12">
      <c r="B518" s="29"/>
      <c r="C518" s="29"/>
      <c r="L518" s="34"/>
    </row>
    <row r="519" ht="12.75" customHeight="1" spans="2:12">
      <c r="B519" s="29"/>
      <c r="C519" s="29"/>
      <c r="L519" s="34"/>
    </row>
    <row r="520" ht="12.75" customHeight="1" spans="2:12">
      <c r="B520" s="29"/>
      <c r="C520" s="29"/>
      <c r="L520" s="34"/>
    </row>
    <row r="521" ht="12.75" customHeight="1" spans="2:12">
      <c r="B521" s="29"/>
      <c r="C521" s="29"/>
      <c r="L521" s="34"/>
    </row>
    <row r="522" ht="12.75" customHeight="1" spans="2:12">
      <c r="B522" s="29"/>
      <c r="C522" s="29"/>
      <c r="L522" s="34"/>
    </row>
    <row r="523" ht="12.75" customHeight="1" spans="2:12">
      <c r="B523" s="29"/>
      <c r="C523" s="29"/>
      <c r="L523" s="34"/>
    </row>
    <row r="524" ht="12.75" customHeight="1" spans="2:12">
      <c r="B524" s="29"/>
      <c r="C524" s="29"/>
      <c r="L524" s="34"/>
    </row>
    <row r="525" ht="12.75" customHeight="1" spans="2:12">
      <c r="B525" s="29"/>
      <c r="C525" s="29"/>
      <c r="L525" s="34"/>
    </row>
    <row r="526" ht="12.75" customHeight="1" spans="2:12">
      <c r="B526" s="29"/>
      <c r="C526" s="29"/>
      <c r="L526" s="34"/>
    </row>
    <row r="527" ht="12.75" customHeight="1" spans="2:12">
      <c r="B527" s="29"/>
      <c r="C527" s="29"/>
      <c r="L527" s="34"/>
    </row>
    <row r="528" ht="12.75" customHeight="1" spans="2:12">
      <c r="B528" s="29"/>
      <c r="C528" s="29"/>
      <c r="L528" s="34"/>
    </row>
    <row r="529" ht="12.75" customHeight="1" spans="2:12">
      <c r="B529" s="29"/>
      <c r="C529" s="29"/>
      <c r="L529" s="34"/>
    </row>
    <row r="530" ht="12.75" customHeight="1" spans="2:12">
      <c r="B530" s="29"/>
      <c r="C530" s="29"/>
      <c r="L530" s="34"/>
    </row>
    <row r="531" ht="12.75" customHeight="1" spans="2:12">
      <c r="B531" s="29"/>
      <c r="C531" s="29"/>
      <c r="L531" s="34"/>
    </row>
    <row r="532" ht="12.75" customHeight="1" spans="2:12">
      <c r="B532" s="29"/>
      <c r="C532" s="29"/>
      <c r="L532" s="34"/>
    </row>
    <row r="533" ht="12.75" customHeight="1" spans="2:12">
      <c r="B533" s="29"/>
      <c r="C533" s="29"/>
      <c r="L533" s="34"/>
    </row>
    <row r="534" ht="12.75" customHeight="1" spans="2:12">
      <c r="B534" s="29"/>
      <c r="C534" s="29"/>
      <c r="L534" s="34"/>
    </row>
    <row r="535" ht="12.75" customHeight="1" spans="2:12">
      <c r="B535" s="29"/>
      <c r="C535" s="29"/>
      <c r="L535" s="34"/>
    </row>
    <row r="536" ht="12.75" customHeight="1" spans="2:12">
      <c r="B536" s="29"/>
      <c r="C536" s="29"/>
      <c r="L536" s="34"/>
    </row>
    <row r="537" ht="12.75" customHeight="1" spans="2:12">
      <c r="B537" s="29"/>
      <c r="C537" s="29"/>
      <c r="L537" s="34"/>
    </row>
    <row r="538" ht="12.75" customHeight="1" spans="2:12">
      <c r="B538" s="29"/>
      <c r="C538" s="29"/>
      <c r="L538" s="34"/>
    </row>
    <row r="539" ht="12.75" customHeight="1" spans="2:12">
      <c r="B539" s="29"/>
      <c r="C539" s="29"/>
      <c r="L539" s="34"/>
    </row>
    <row r="540" ht="12.75" customHeight="1" spans="2:12">
      <c r="B540" s="29"/>
      <c r="C540" s="29"/>
      <c r="L540" s="34"/>
    </row>
    <row r="541" ht="12.75" customHeight="1" spans="2:12">
      <c r="B541" s="29"/>
      <c r="C541" s="29"/>
      <c r="L541" s="34"/>
    </row>
    <row r="542" ht="12.75" customHeight="1" spans="2:12">
      <c r="B542" s="29"/>
      <c r="C542" s="29"/>
      <c r="L542" s="34"/>
    </row>
    <row r="543" ht="12.75" customHeight="1" spans="2:12">
      <c r="B543" s="29"/>
      <c r="C543" s="29"/>
      <c r="L543" s="34"/>
    </row>
    <row r="544" ht="12.75" customHeight="1" spans="2:12">
      <c r="B544" s="29"/>
      <c r="C544" s="29"/>
      <c r="L544" s="34"/>
    </row>
    <row r="545" ht="12.75" customHeight="1" spans="2:12">
      <c r="B545" s="29"/>
      <c r="C545" s="29"/>
      <c r="L545" s="34"/>
    </row>
    <row r="546" ht="12.75" customHeight="1" spans="2:12">
      <c r="B546" s="29"/>
      <c r="C546" s="29"/>
      <c r="L546" s="34"/>
    </row>
    <row r="547" ht="12.75" customHeight="1" spans="2:12">
      <c r="B547" s="29"/>
      <c r="C547" s="29"/>
      <c r="L547" s="34"/>
    </row>
    <row r="548" ht="12.75" customHeight="1" spans="2:12">
      <c r="B548" s="29"/>
      <c r="C548" s="29"/>
      <c r="L548" s="34"/>
    </row>
    <row r="549" ht="12.75" customHeight="1" spans="2:12">
      <c r="B549" s="29"/>
      <c r="C549" s="29"/>
      <c r="L549" s="34"/>
    </row>
    <row r="550" ht="12.75" customHeight="1" spans="2:12">
      <c r="B550" s="29"/>
      <c r="C550" s="29"/>
      <c r="L550" s="34"/>
    </row>
    <row r="551" ht="12.75" customHeight="1" spans="2:12">
      <c r="B551" s="29"/>
      <c r="C551" s="29"/>
      <c r="L551" s="34"/>
    </row>
    <row r="552" ht="12.75" customHeight="1" spans="2:12">
      <c r="B552" s="29"/>
      <c r="C552" s="29"/>
      <c r="L552" s="34"/>
    </row>
    <row r="553" ht="12.75" customHeight="1" spans="2:12">
      <c r="B553" s="29"/>
      <c r="C553" s="29"/>
      <c r="L553" s="34"/>
    </row>
    <row r="554" ht="12.75" customHeight="1" spans="2:12">
      <c r="B554" s="29"/>
      <c r="C554" s="29"/>
      <c r="L554" s="34"/>
    </row>
    <row r="555" ht="12.75" customHeight="1" spans="2:12">
      <c r="B555" s="29"/>
      <c r="C555" s="29"/>
      <c r="L555" s="34"/>
    </row>
    <row r="556" ht="12.75" customHeight="1" spans="2:12">
      <c r="B556" s="29"/>
      <c r="C556" s="29"/>
      <c r="L556" s="34"/>
    </row>
    <row r="557" ht="12.75" customHeight="1" spans="2:12">
      <c r="B557" s="29"/>
      <c r="C557" s="29"/>
      <c r="L557" s="34"/>
    </row>
    <row r="558" ht="12.75" customHeight="1" spans="2:12">
      <c r="B558" s="29"/>
      <c r="C558" s="29"/>
      <c r="L558" s="34"/>
    </row>
    <row r="559" ht="12.75" customHeight="1" spans="2:12">
      <c r="B559" s="29"/>
      <c r="C559" s="29"/>
      <c r="L559" s="34"/>
    </row>
    <row r="560" ht="12.75" customHeight="1" spans="2:12">
      <c r="B560" s="29"/>
      <c r="C560" s="29"/>
      <c r="L560" s="34"/>
    </row>
    <row r="561" ht="12.75" customHeight="1" spans="2:12">
      <c r="B561" s="29"/>
      <c r="C561" s="29"/>
      <c r="L561" s="34"/>
    </row>
    <row r="562" ht="12.75" customHeight="1" spans="2:12">
      <c r="B562" s="29"/>
      <c r="C562" s="29"/>
      <c r="L562" s="34"/>
    </row>
    <row r="563" ht="12.75" customHeight="1" spans="2:12">
      <c r="B563" s="29"/>
      <c r="C563" s="29"/>
      <c r="L563" s="34"/>
    </row>
    <row r="564" ht="12.75" customHeight="1" spans="2:12">
      <c r="B564" s="29"/>
      <c r="C564" s="29"/>
      <c r="L564" s="34"/>
    </row>
    <row r="565" ht="12.75" customHeight="1" spans="2:12">
      <c r="B565" s="29"/>
      <c r="C565" s="29"/>
      <c r="L565" s="34"/>
    </row>
    <row r="566" ht="12.75" customHeight="1" spans="2:12">
      <c r="B566" s="29"/>
      <c r="C566" s="29"/>
      <c r="L566" s="34"/>
    </row>
    <row r="567" ht="12.75" customHeight="1" spans="2:12">
      <c r="B567" s="29"/>
      <c r="C567" s="29"/>
      <c r="L567" s="34"/>
    </row>
    <row r="568" ht="12.75" customHeight="1" spans="2:12">
      <c r="B568" s="29"/>
      <c r="C568" s="29"/>
      <c r="L568" s="34"/>
    </row>
    <row r="569" ht="12.75" customHeight="1" spans="2:12">
      <c r="B569" s="29"/>
      <c r="C569" s="29"/>
      <c r="L569" s="34"/>
    </row>
    <row r="570" ht="12.75" customHeight="1" spans="2:12">
      <c r="B570" s="29"/>
      <c r="C570" s="29"/>
      <c r="L570" s="34"/>
    </row>
    <row r="571" ht="12.75" customHeight="1" spans="2:12">
      <c r="B571" s="29"/>
      <c r="C571" s="29"/>
      <c r="L571" s="34"/>
    </row>
    <row r="572" ht="12.75" customHeight="1" spans="2:12">
      <c r="B572" s="29"/>
      <c r="C572" s="29"/>
      <c r="L572" s="34"/>
    </row>
    <row r="573" ht="12.75" customHeight="1" spans="2:12">
      <c r="B573" s="29"/>
      <c r="C573" s="29"/>
      <c r="L573" s="34"/>
    </row>
    <row r="574" ht="12.75" customHeight="1" spans="2:12">
      <c r="B574" s="29"/>
      <c r="C574" s="29"/>
      <c r="L574" s="34"/>
    </row>
    <row r="575" ht="12.75" customHeight="1" spans="2:12">
      <c r="B575" s="29"/>
      <c r="C575" s="29"/>
      <c r="L575" s="34"/>
    </row>
    <row r="576" ht="12.75" customHeight="1" spans="2:12">
      <c r="B576" s="29"/>
      <c r="C576" s="29"/>
      <c r="L576" s="34"/>
    </row>
    <row r="577" ht="12.75" customHeight="1" spans="2:12">
      <c r="B577" s="29"/>
      <c r="C577" s="29"/>
      <c r="L577" s="34"/>
    </row>
    <row r="578" ht="12.75" customHeight="1" spans="2:12">
      <c r="B578" s="29"/>
      <c r="C578" s="29"/>
      <c r="L578" s="34"/>
    </row>
    <row r="579" ht="12.75" customHeight="1" spans="2:12">
      <c r="B579" s="29"/>
      <c r="C579" s="29"/>
      <c r="L579" s="34"/>
    </row>
    <row r="580" ht="12.75" customHeight="1" spans="2:12">
      <c r="B580" s="29"/>
      <c r="C580" s="29"/>
      <c r="L580" s="34"/>
    </row>
    <row r="581" ht="12.75" customHeight="1" spans="2:12">
      <c r="B581" s="29"/>
      <c r="C581" s="29"/>
      <c r="L581" s="34"/>
    </row>
    <row r="582" ht="12.75" customHeight="1" spans="2:12">
      <c r="B582" s="29"/>
      <c r="C582" s="29"/>
      <c r="L582" s="34"/>
    </row>
    <row r="583" ht="12.75" customHeight="1" spans="2:12">
      <c r="B583" s="29"/>
      <c r="C583" s="29"/>
      <c r="L583" s="34"/>
    </row>
    <row r="584" ht="12.75" customHeight="1" spans="2:12">
      <c r="B584" s="29"/>
      <c r="C584" s="29"/>
      <c r="L584" s="34"/>
    </row>
    <row r="585" ht="12.75" customHeight="1" spans="2:12">
      <c r="B585" s="29"/>
      <c r="C585" s="29"/>
      <c r="L585" s="34"/>
    </row>
    <row r="586" ht="12.75" customHeight="1" spans="2:12">
      <c r="B586" s="29"/>
      <c r="C586" s="29"/>
      <c r="L586" s="34"/>
    </row>
    <row r="587" ht="12.75" customHeight="1" spans="2:12">
      <c r="B587" s="29"/>
      <c r="C587" s="29"/>
      <c r="L587" s="34"/>
    </row>
    <row r="588" ht="12.75" customHeight="1" spans="2:12">
      <c r="B588" s="29"/>
      <c r="C588" s="29"/>
      <c r="L588" s="34"/>
    </row>
    <row r="589" ht="12.75" customHeight="1" spans="2:12">
      <c r="B589" s="29"/>
      <c r="C589" s="29"/>
      <c r="L589" s="34"/>
    </row>
    <row r="590" ht="12.75" customHeight="1" spans="2:12">
      <c r="B590" s="29"/>
      <c r="C590" s="29"/>
      <c r="L590" s="34"/>
    </row>
    <row r="591" ht="12.75" customHeight="1" spans="2:12">
      <c r="B591" s="29"/>
      <c r="C591" s="29"/>
      <c r="L591" s="34"/>
    </row>
    <row r="592" ht="12.75" customHeight="1" spans="2:12">
      <c r="B592" s="29"/>
      <c r="C592" s="29"/>
      <c r="L592" s="34"/>
    </row>
    <row r="593" ht="12.75" customHeight="1" spans="2:12">
      <c r="B593" s="29"/>
      <c r="C593" s="29"/>
      <c r="L593" s="34"/>
    </row>
    <row r="594" ht="12.75" customHeight="1" spans="2:12">
      <c r="B594" s="29"/>
      <c r="C594" s="29"/>
      <c r="L594" s="34"/>
    </row>
    <row r="595" ht="12.75" customHeight="1" spans="2:12">
      <c r="B595" s="29"/>
      <c r="C595" s="29"/>
      <c r="L595" s="34"/>
    </row>
    <row r="596" ht="12.75" customHeight="1" spans="2:12">
      <c r="B596" s="29"/>
      <c r="C596" s="29"/>
      <c r="L596" s="34"/>
    </row>
    <row r="597" ht="12.75" customHeight="1" spans="2:12">
      <c r="B597" s="29"/>
      <c r="C597" s="29"/>
      <c r="L597" s="34"/>
    </row>
    <row r="598" ht="12.75" customHeight="1" spans="2:12">
      <c r="B598" s="29"/>
      <c r="C598" s="29"/>
      <c r="L598" s="34"/>
    </row>
    <row r="599" ht="12.75" customHeight="1" spans="2:12">
      <c r="B599" s="29"/>
      <c r="C599" s="29"/>
      <c r="L599" s="34"/>
    </row>
    <row r="600" ht="12.75" customHeight="1" spans="2:12">
      <c r="B600" s="29"/>
      <c r="C600" s="29"/>
      <c r="L600" s="34"/>
    </row>
    <row r="601" ht="12.75" customHeight="1" spans="2:12">
      <c r="B601" s="29"/>
      <c r="C601" s="29"/>
      <c r="L601" s="34"/>
    </row>
    <row r="602" ht="12.75" customHeight="1" spans="2:12">
      <c r="B602" s="29"/>
      <c r="C602" s="29"/>
      <c r="L602" s="34"/>
    </row>
    <row r="603" ht="12.75" customHeight="1" spans="2:12">
      <c r="B603" s="29"/>
      <c r="C603" s="29"/>
      <c r="L603" s="34"/>
    </row>
    <row r="604" ht="12.75" customHeight="1" spans="2:12">
      <c r="B604" s="29"/>
      <c r="C604" s="29"/>
      <c r="L604" s="34"/>
    </row>
    <row r="605" ht="12.75" customHeight="1" spans="2:12">
      <c r="B605" s="29"/>
      <c r="C605" s="29"/>
      <c r="L605" s="34"/>
    </row>
    <row r="606" ht="12.75" customHeight="1" spans="2:12">
      <c r="B606" s="29"/>
      <c r="C606" s="29"/>
      <c r="L606" s="34"/>
    </row>
    <row r="607" ht="12.75" customHeight="1" spans="2:12">
      <c r="B607" s="29"/>
      <c r="C607" s="29"/>
      <c r="L607" s="34"/>
    </row>
    <row r="608" ht="12.75" customHeight="1" spans="2:12">
      <c r="B608" s="29"/>
      <c r="C608" s="29"/>
      <c r="L608" s="34"/>
    </row>
    <row r="609" ht="12.75" customHeight="1" spans="2:12">
      <c r="B609" s="29"/>
      <c r="C609" s="29"/>
      <c r="L609" s="34"/>
    </row>
    <row r="610" ht="12.75" customHeight="1" spans="2:12">
      <c r="B610" s="29"/>
      <c r="C610" s="29"/>
      <c r="L610" s="34"/>
    </row>
    <row r="611" ht="12.75" customHeight="1" spans="2:12">
      <c r="B611" s="29"/>
      <c r="C611" s="29"/>
      <c r="L611" s="34"/>
    </row>
    <row r="612" ht="12.75" customHeight="1" spans="2:12">
      <c r="B612" s="29"/>
      <c r="C612" s="29"/>
      <c r="L612" s="34"/>
    </row>
    <row r="613" ht="12.75" customHeight="1" spans="2:12">
      <c r="B613" s="29"/>
      <c r="C613" s="29"/>
      <c r="L613" s="34"/>
    </row>
    <row r="614" ht="12.75" customHeight="1" spans="2:12">
      <c r="B614" s="29"/>
      <c r="C614" s="29"/>
      <c r="L614" s="34"/>
    </row>
    <row r="615" ht="12.75" customHeight="1" spans="2:12">
      <c r="B615" s="29"/>
      <c r="C615" s="29"/>
      <c r="L615" s="34"/>
    </row>
    <row r="616" ht="12.75" customHeight="1" spans="2:12">
      <c r="B616" s="29"/>
      <c r="C616" s="29"/>
      <c r="L616" s="34"/>
    </row>
    <row r="617" ht="12.75" customHeight="1" spans="2:12">
      <c r="B617" s="29"/>
      <c r="C617" s="29"/>
      <c r="L617" s="34"/>
    </row>
    <row r="618" ht="12.75" customHeight="1" spans="2:12">
      <c r="B618" s="29"/>
      <c r="C618" s="29"/>
      <c r="L618" s="34"/>
    </row>
    <row r="619" ht="12.75" customHeight="1" spans="2:12">
      <c r="B619" s="29"/>
      <c r="C619" s="29"/>
      <c r="L619" s="34"/>
    </row>
    <row r="620" ht="12.75" customHeight="1" spans="2:12">
      <c r="B620" s="29"/>
      <c r="C620" s="29"/>
      <c r="L620" s="34"/>
    </row>
    <row r="621" ht="12.75" customHeight="1" spans="2:12">
      <c r="B621" s="29"/>
      <c r="C621" s="29"/>
      <c r="L621" s="34"/>
    </row>
    <row r="622" ht="12.75" customHeight="1" spans="2:12">
      <c r="B622" s="29"/>
      <c r="C622" s="29"/>
      <c r="L622" s="34"/>
    </row>
    <row r="623" ht="12.75" customHeight="1" spans="2:12">
      <c r="B623" s="29"/>
      <c r="C623" s="29"/>
      <c r="L623" s="34"/>
    </row>
    <row r="624" ht="12.75" customHeight="1" spans="2:12">
      <c r="B624" s="29"/>
      <c r="C624" s="29"/>
      <c r="L624" s="34"/>
    </row>
    <row r="625" ht="12.75" customHeight="1" spans="2:12">
      <c r="B625" s="29"/>
      <c r="C625" s="29"/>
      <c r="L625" s="34"/>
    </row>
    <row r="626" ht="12.75" customHeight="1" spans="2:12">
      <c r="B626" s="29"/>
      <c r="C626" s="29"/>
      <c r="L626" s="34"/>
    </row>
    <row r="627" ht="12.75" customHeight="1" spans="2:12">
      <c r="B627" s="29"/>
      <c r="C627" s="29"/>
      <c r="L627" s="34"/>
    </row>
    <row r="628" ht="12.75" customHeight="1" spans="2:12">
      <c r="B628" s="29"/>
      <c r="C628" s="29"/>
      <c r="L628" s="34"/>
    </row>
    <row r="629" ht="12.75" customHeight="1" spans="2:12">
      <c r="B629" s="29"/>
      <c r="C629" s="29"/>
      <c r="L629" s="34"/>
    </row>
    <row r="630" ht="12.75" customHeight="1" spans="2:12">
      <c r="B630" s="29"/>
      <c r="C630" s="29"/>
      <c r="L630" s="34"/>
    </row>
    <row r="631" ht="12.75" customHeight="1" spans="2:12">
      <c r="B631" s="29"/>
      <c r="C631" s="29"/>
      <c r="L631" s="34"/>
    </row>
    <row r="632" ht="12.75" customHeight="1" spans="2:12">
      <c r="B632" s="29"/>
      <c r="C632" s="29"/>
      <c r="L632" s="34"/>
    </row>
    <row r="633" ht="12.75" customHeight="1" spans="2:12">
      <c r="B633" s="29"/>
      <c r="C633" s="29"/>
      <c r="L633" s="34"/>
    </row>
    <row r="634" ht="12.75" customHeight="1" spans="2:12">
      <c r="B634" s="29"/>
      <c r="C634" s="29"/>
      <c r="L634" s="34"/>
    </row>
    <row r="635" ht="12.75" customHeight="1" spans="2:12">
      <c r="B635" s="29"/>
      <c r="C635" s="29"/>
      <c r="L635" s="34"/>
    </row>
    <row r="636" ht="12.75" customHeight="1" spans="2:12">
      <c r="B636" s="29"/>
      <c r="C636" s="29"/>
      <c r="L636" s="34"/>
    </row>
    <row r="637" ht="12.75" customHeight="1" spans="2:12">
      <c r="B637" s="29"/>
      <c r="C637" s="29"/>
      <c r="L637" s="34"/>
    </row>
    <row r="638" ht="12.75" customHeight="1" spans="2:12">
      <c r="B638" s="29"/>
      <c r="C638" s="29"/>
      <c r="L638" s="34"/>
    </row>
    <row r="639" ht="12.75" customHeight="1" spans="2:12">
      <c r="B639" s="29"/>
      <c r="C639" s="29"/>
      <c r="L639" s="34"/>
    </row>
    <row r="640" ht="12.75" customHeight="1" spans="2:12">
      <c r="B640" s="29"/>
      <c r="C640" s="29"/>
      <c r="L640" s="34"/>
    </row>
    <row r="641" ht="12.75" customHeight="1" spans="2:12">
      <c r="B641" s="29"/>
      <c r="C641" s="29"/>
      <c r="L641" s="34"/>
    </row>
    <row r="642" ht="12.75" customHeight="1" spans="2:12">
      <c r="B642" s="29"/>
      <c r="C642" s="29"/>
      <c r="L642" s="34"/>
    </row>
    <row r="643" ht="12.75" customHeight="1" spans="2:12">
      <c r="B643" s="29"/>
      <c r="C643" s="29"/>
      <c r="L643" s="34"/>
    </row>
    <row r="644" ht="12.75" customHeight="1" spans="2:12">
      <c r="B644" s="29"/>
      <c r="C644" s="29"/>
      <c r="L644" s="34"/>
    </row>
    <row r="645" ht="12.75" customHeight="1" spans="2:12">
      <c r="B645" s="29"/>
      <c r="C645" s="29"/>
      <c r="L645" s="34"/>
    </row>
    <row r="646" ht="12.75" customHeight="1" spans="2:12">
      <c r="B646" s="29"/>
      <c r="C646" s="29"/>
      <c r="L646" s="34"/>
    </row>
    <row r="647" ht="12.75" customHeight="1" spans="2:12">
      <c r="B647" s="29"/>
      <c r="C647" s="29"/>
      <c r="L647" s="34"/>
    </row>
    <row r="648" ht="12.75" customHeight="1" spans="2:12">
      <c r="B648" s="29"/>
      <c r="C648" s="29"/>
      <c r="L648" s="34"/>
    </row>
    <row r="649" ht="12.75" customHeight="1" spans="2:12">
      <c r="B649" s="29"/>
      <c r="C649" s="29"/>
      <c r="L649" s="34"/>
    </row>
    <row r="650" ht="12.75" customHeight="1" spans="2:12">
      <c r="B650" s="29"/>
      <c r="C650" s="29"/>
      <c r="L650" s="34"/>
    </row>
    <row r="651" ht="12.75" customHeight="1" spans="2:12">
      <c r="B651" s="29"/>
      <c r="C651" s="29"/>
      <c r="L651" s="34"/>
    </row>
    <row r="652" ht="12.75" customHeight="1" spans="2:12">
      <c r="B652" s="29"/>
      <c r="C652" s="29"/>
      <c r="L652" s="34"/>
    </row>
    <row r="653" ht="12.75" customHeight="1" spans="2:12">
      <c r="B653" s="29"/>
      <c r="C653" s="29"/>
      <c r="L653" s="34"/>
    </row>
    <row r="654" ht="12.75" customHeight="1" spans="2:12">
      <c r="B654" s="29"/>
      <c r="C654" s="29"/>
      <c r="L654" s="34"/>
    </row>
    <row r="655" ht="12.75" customHeight="1" spans="2:12">
      <c r="B655" s="29"/>
      <c r="C655" s="29"/>
      <c r="L655" s="34"/>
    </row>
    <row r="656" ht="12.75" customHeight="1" spans="2:12">
      <c r="B656" s="29"/>
      <c r="C656" s="29"/>
      <c r="L656" s="34"/>
    </row>
    <row r="657" ht="12.75" customHeight="1" spans="2:12">
      <c r="B657" s="29"/>
      <c r="C657" s="29"/>
      <c r="L657" s="34"/>
    </row>
    <row r="658" ht="12.75" customHeight="1" spans="2:12">
      <c r="B658" s="29"/>
      <c r="C658" s="29"/>
      <c r="L658" s="34"/>
    </row>
    <row r="659" ht="12.75" customHeight="1" spans="2:12">
      <c r="B659" s="29"/>
      <c r="C659" s="29"/>
      <c r="L659" s="34"/>
    </row>
    <row r="660" ht="12.75" customHeight="1" spans="2:12">
      <c r="B660" s="29"/>
      <c r="C660" s="29"/>
      <c r="L660" s="34"/>
    </row>
    <row r="661" ht="12.75" customHeight="1" spans="2:12">
      <c r="B661" s="29"/>
      <c r="C661" s="29"/>
      <c r="L661" s="34"/>
    </row>
    <row r="662" ht="12.75" customHeight="1" spans="2:12">
      <c r="B662" s="29"/>
      <c r="C662" s="29"/>
      <c r="L662" s="34"/>
    </row>
    <row r="663" ht="12.75" customHeight="1" spans="2:12">
      <c r="B663" s="29"/>
      <c r="C663" s="29"/>
      <c r="L663" s="34"/>
    </row>
    <row r="664" ht="12.75" customHeight="1" spans="2:12">
      <c r="B664" s="29"/>
      <c r="C664" s="29"/>
      <c r="L664" s="34"/>
    </row>
    <row r="665" ht="12.75" customHeight="1" spans="2:12">
      <c r="B665" s="29"/>
      <c r="C665" s="29"/>
      <c r="L665" s="34"/>
    </row>
    <row r="666" ht="12.75" customHeight="1" spans="2:12">
      <c r="B666" s="29"/>
      <c r="C666" s="29"/>
      <c r="L666" s="34"/>
    </row>
    <row r="667" ht="12.75" customHeight="1" spans="2:12">
      <c r="B667" s="29"/>
      <c r="C667" s="29"/>
      <c r="L667" s="34"/>
    </row>
    <row r="668" ht="12.75" customHeight="1" spans="2:12">
      <c r="B668" s="29"/>
      <c r="C668" s="29"/>
      <c r="L668" s="34"/>
    </row>
    <row r="669" ht="12.75" customHeight="1" spans="2:12">
      <c r="B669" s="29"/>
      <c r="C669" s="29"/>
      <c r="L669" s="34"/>
    </row>
    <row r="670" ht="12.75" customHeight="1" spans="2:12">
      <c r="B670" s="29"/>
      <c r="C670" s="29"/>
      <c r="L670" s="34"/>
    </row>
    <row r="671" ht="12.75" customHeight="1" spans="2:12">
      <c r="B671" s="29"/>
      <c r="C671" s="29"/>
      <c r="L671" s="34"/>
    </row>
    <row r="672" ht="12.75" customHeight="1" spans="2:12">
      <c r="B672" s="29"/>
      <c r="C672" s="29"/>
      <c r="L672" s="34"/>
    </row>
    <row r="673" ht="12.75" customHeight="1" spans="2:12">
      <c r="B673" s="29"/>
      <c r="C673" s="29"/>
      <c r="L673" s="34"/>
    </row>
    <row r="674" ht="12.75" customHeight="1" spans="2:12">
      <c r="B674" s="29"/>
      <c r="C674" s="29"/>
      <c r="L674" s="34"/>
    </row>
    <row r="675" ht="12.75" customHeight="1" spans="2:12">
      <c r="B675" s="29"/>
      <c r="C675" s="29"/>
      <c r="L675" s="34"/>
    </row>
    <row r="676" ht="12.75" customHeight="1" spans="2:12">
      <c r="B676" s="29"/>
      <c r="C676" s="29"/>
      <c r="L676" s="34"/>
    </row>
    <row r="677" ht="12.75" customHeight="1" spans="2:12">
      <c r="B677" s="29"/>
      <c r="C677" s="29"/>
      <c r="L677" s="34"/>
    </row>
    <row r="678" ht="12.75" customHeight="1" spans="2:12">
      <c r="B678" s="29"/>
      <c r="C678" s="29"/>
      <c r="L678" s="34"/>
    </row>
    <row r="679" ht="12.75" customHeight="1" spans="2:12">
      <c r="B679" s="29"/>
      <c r="C679" s="29"/>
      <c r="L679" s="34"/>
    </row>
    <row r="680" ht="12.75" customHeight="1" spans="2:12">
      <c r="B680" s="29"/>
      <c r="C680" s="29"/>
      <c r="L680" s="34"/>
    </row>
    <row r="681" ht="12.75" customHeight="1" spans="2:12">
      <c r="B681" s="29"/>
      <c r="C681" s="29"/>
      <c r="L681" s="34"/>
    </row>
    <row r="682" ht="12.75" customHeight="1" spans="2:12">
      <c r="B682" s="29"/>
      <c r="C682" s="29"/>
      <c r="L682" s="34"/>
    </row>
    <row r="683" ht="12.75" customHeight="1" spans="2:12">
      <c r="B683" s="29"/>
      <c r="C683" s="29"/>
      <c r="L683" s="34"/>
    </row>
    <row r="684" ht="12.75" customHeight="1" spans="2:12">
      <c r="B684" s="29"/>
      <c r="C684" s="29"/>
      <c r="L684" s="34"/>
    </row>
    <row r="685" ht="12.75" customHeight="1" spans="2:12">
      <c r="B685" s="29"/>
      <c r="C685" s="29"/>
      <c r="L685" s="34"/>
    </row>
    <row r="686" ht="12.75" customHeight="1" spans="2:12">
      <c r="B686" s="29"/>
      <c r="C686" s="29"/>
      <c r="L686" s="34"/>
    </row>
    <row r="687" ht="12.75" customHeight="1" spans="2:12">
      <c r="B687" s="29"/>
      <c r="C687" s="29"/>
      <c r="L687" s="34"/>
    </row>
    <row r="688" ht="12.75" customHeight="1" spans="2:12">
      <c r="B688" s="29"/>
      <c r="C688" s="29"/>
      <c r="L688" s="34"/>
    </row>
    <row r="689" ht="12.75" customHeight="1" spans="2:12">
      <c r="B689" s="29"/>
      <c r="C689" s="29"/>
      <c r="L689" s="34"/>
    </row>
    <row r="690" ht="12.75" customHeight="1" spans="2:12">
      <c r="B690" s="29"/>
      <c r="C690" s="29"/>
      <c r="L690" s="34"/>
    </row>
    <row r="691" ht="12.75" customHeight="1" spans="2:12">
      <c r="B691" s="29"/>
      <c r="C691" s="29"/>
      <c r="L691" s="34"/>
    </row>
    <row r="692" ht="12.75" customHeight="1" spans="2:12">
      <c r="B692" s="29"/>
      <c r="C692" s="29"/>
      <c r="L692" s="34"/>
    </row>
    <row r="693" ht="12.75" customHeight="1" spans="2:12">
      <c r="B693" s="29"/>
      <c r="C693" s="29"/>
      <c r="L693" s="34"/>
    </row>
    <row r="694" ht="12.75" customHeight="1" spans="2:12">
      <c r="B694" s="29"/>
      <c r="C694" s="29"/>
      <c r="L694" s="34"/>
    </row>
    <row r="695" ht="12.75" customHeight="1" spans="2:12">
      <c r="B695" s="29"/>
      <c r="C695" s="29"/>
      <c r="L695" s="34"/>
    </row>
    <row r="696" ht="12.75" customHeight="1" spans="2:12">
      <c r="B696" s="29"/>
      <c r="C696" s="29"/>
      <c r="L696" s="34"/>
    </row>
    <row r="697" ht="12.75" customHeight="1" spans="2:12">
      <c r="B697" s="29"/>
      <c r="C697" s="29"/>
      <c r="L697" s="34"/>
    </row>
    <row r="698" ht="12.75" customHeight="1" spans="2:12">
      <c r="B698" s="29"/>
      <c r="C698" s="29"/>
      <c r="L698" s="34"/>
    </row>
    <row r="699" ht="12.75" customHeight="1" spans="2:12">
      <c r="B699" s="29"/>
      <c r="C699" s="29"/>
      <c r="L699" s="34"/>
    </row>
    <row r="700" ht="12.75" customHeight="1" spans="2:12">
      <c r="B700" s="29"/>
      <c r="C700" s="29"/>
      <c r="L700" s="34"/>
    </row>
    <row r="701" ht="12.75" customHeight="1" spans="2:12">
      <c r="B701" s="29"/>
      <c r="C701" s="29"/>
      <c r="L701" s="34"/>
    </row>
    <row r="702" ht="12.75" customHeight="1" spans="2:12">
      <c r="B702" s="29"/>
      <c r="C702" s="29"/>
      <c r="L702" s="34"/>
    </row>
    <row r="703" ht="12.75" customHeight="1" spans="2:12">
      <c r="B703" s="29"/>
      <c r="C703" s="29"/>
      <c r="L703" s="34"/>
    </row>
    <row r="704" ht="12.75" customHeight="1" spans="2:12">
      <c r="B704" s="29"/>
      <c r="C704" s="29"/>
      <c r="L704" s="34"/>
    </row>
    <row r="705" ht="12.75" customHeight="1" spans="2:12">
      <c r="B705" s="29"/>
      <c r="C705" s="29"/>
      <c r="L705" s="34"/>
    </row>
    <row r="706" ht="12.75" customHeight="1" spans="2:12">
      <c r="B706" s="29"/>
      <c r="C706" s="29"/>
      <c r="L706" s="34"/>
    </row>
    <row r="707" ht="12.75" customHeight="1" spans="2:12">
      <c r="B707" s="29"/>
      <c r="C707" s="29"/>
      <c r="L707" s="34"/>
    </row>
    <row r="708" ht="12.75" customHeight="1" spans="2:12">
      <c r="B708" s="29"/>
      <c r="C708" s="29"/>
      <c r="L708" s="34"/>
    </row>
    <row r="709" ht="12.75" customHeight="1" spans="2:12">
      <c r="B709" s="29"/>
      <c r="C709" s="29"/>
      <c r="L709" s="34"/>
    </row>
    <row r="710" ht="12.75" customHeight="1" spans="2:12">
      <c r="B710" s="29"/>
      <c r="C710" s="29"/>
      <c r="L710" s="34"/>
    </row>
    <row r="711" ht="12.75" customHeight="1" spans="2:12">
      <c r="B711" s="29"/>
      <c r="C711" s="29"/>
      <c r="L711" s="34"/>
    </row>
    <row r="712" ht="12.75" customHeight="1" spans="2:12">
      <c r="B712" s="29"/>
      <c r="C712" s="29"/>
      <c r="L712" s="34"/>
    </row>
    <row r="713" ht="12.75" customHeight="1" spans="2:12">
      <c r="B713" s="29"/>
      <c r="C713" s="29"/>
      <c r="L713" s="34"/>
    </row>
    <row r="714" ht="12.75" customHeight="1" spans="2:12">
      <c r="B714" s="29"/>
      <c r="C714" s="29"/>
      <c r="L714" s="34"/>
    </row>
    <row r="715" ht="12.75" customHeight="1" spans="2:12">
      <c r="B715" s="29"/>
      <c r="C715" s="29"/>
      <c r="L715" s="34"/>
    </row>
    <row r="716" ht="12.75" customHeight="1" spans="2:12">
      <c r="B716" s="29"/>
      <c r="C716" s="29"/>
      <c r="L716" s="34"/>
    </row>
    <row r="717" ht="12.75" customHeight="1" spans="2:12">
      <c r="B717" s="29"/>
      <c r="C717" s="29"/>
      <c r="L717" s="34"/>
    </row>
    <row r="718" ht="12.75" customHeight="1" spans="2:12">
      <c r="B718" s="29"/>
      <c r="C718" s="29"/>
      <c r="L718" s="34"/>
    </row>
    <row r="719" ht="12.75" customHeight="1" spans="2:12">
      <c r="B719" s="29"/>
      <c r="C719" s="29"/>
      <c r="L719" s="34"/>
    </row>
    <row r="720" ht="12.75" customHeight="1" spans="2:12">
      <c r="B720" s="29"/>
      <c r="C720" s="29"/>
      <c r="L720" s="34"/>
    </row>
    <row r="721" ht="12.75" customHeight="1" spans="2:12">
      <c r="B721" s="29"/>
      <c r="C721" s="29"/>
      <c r="L721" s="34"/>
    </row>
    <row r="722" ht="12.75" customHeight="1" spans="2:12">
      <c r="B722" s="29"/>
      <c r="C722" s="29"/>
      <c r="L722" s="34"/>
    </row>
    <row r="723" ht="12.75" customHeight="1" spans="2:12">
      <c r="B723" s="29"/>
      <c r="C723" s="29"/>
      <c r="L723" s="34"/>
    </row>
    <row r="724" ht="12.75" customHeight="1" spans="2:12">
      <c r="B724" s="29"/>
      <c r="C724" s="29"/>
      <c r="L724" s="34"/>
    </row>
    <row r="725" ht="12.75" customHeight="1" spans="2:12">
      <c r="B725" s="29"/>
      <c r="C725" s="29"/>
      <c r="L725" s="34"/>
    </row>
    <row r="726" ht="12.75" customHeight="1" spans="2:12">
      <c r="B726" s="29"/>
      <c r="C726" s="29"/>
      <c r="L726" s="34"/>
    </row>
    <row r="727" ht="12.75" customHeight="1" spans="2:12">
      <c r="B727" s="29"/>
      <c r="C727" s="29"/>
      <c r="L727" s="34"/>
    </row>
    <row r="728" ht="12.75" customHeight="1" spans="2:12">
      <c r="B728" s="29"/>
      <c r="C728" s="29"/>
      <c r="L728" s="34"/>
    </row>
    <row r="729" ht="12.75" customHeight="1" spans="2:12">
      <c r="B729" s="29"/>
      <c r="C729" s="29"/>
      <c r="L729" s="34"/>
    </row>
    <row r="730" ht="12.75" customHeight="1" spans="2:12">
      <c r="B730" s="29"/>
      <c r="C730" s="29"/>
      <c r="L730" s="34"/>
    </row>
    <row r="731" ht="12.75" customHeight="1" spans="2:12">
      <c r="B731" s="29"/>
      <c r="C731" s="29"/>
      <c r="L731" s="34"/>
    </row>
    <row r="732" ht="12.75" customHeight="1" spans="2:12">
      <c r="B732" s="29"/>
      <c r="C732" s="29"/>
      <c r="L732" s="34"/>
    </row>
    <row r="733" ht="12.75" customHeight="1" spans="2:12">
      <c r="B733" s="29"/>
      <c r="C733" s="29"/>
      <c r="L733" s="34"/>
    </row>
    <row r="734" ht="12.75" customHeight="1" spans="2:12">
      <c r="B734" s="29"/>
      <c r="C734" s="29"/>
      <c r="L734" s="34"/>
    </row>
    <row r="735" ht="12.75" customHeight="1" spans="2:12">
      <c r="B735" s="29"/>
      <c r="C735" s="29"/>
      <c r="L735" s="34"/>
    </row>
    <row r="736" ht="12.75" customHeight="1" spans="2:12">
      <c r="B736" s="29"/>
      <c r="C736" s="29"/>
      <c r="L736" s="34"/>
    </row>
    <row r="737" ht="12.75" customHeight="1" spans="2:12">
      <c r="B737" s="29"/>
      <c r="C737" s="29"/>
      <c r="L737" s="34"/>
    </row>
    <row r="738" ht="12.75" customHeight="1" spans="2:12">
      <c r="B738" s="29"/>
      <c r="C738" s="29"/>
      <c r="L738" s="34"/>
    </row>
    <row r="739" ht="12.75" customHeight="1" spans="2:12">
      <c r="B739" s="29"/>
      <c r="C739" s="29"/>
      <c r="L739" s="34"/>
    </row>
    <row r="740" ht="12.75" customHeight="1" spans="2:12">
      <c r="B740" s="29"/>
      <c r="C740" s="29"/>
      <c r="L740" s="34"/>
    </row>
    <row r="741" ht="12.75" customHeight="1" spans="2:12">
      <c r="B741" s="29"/>
      <c r="C741" s="29"/>
      <c r="L741" s="34"/>
    </row>
    <row r="742" ht="12.75" customHeight="1" spans="2:12">
      <c r="B742" s="29"/>
      <c r="C742" s="29"/>
      <c r="L742" s="34"/>
    </row>
    <row r="743" ht="12.75" customHeight="1" spans="2:12">
      <c r="B743" s="29"/>
      <c r="C743" s="29"/>
      <c r="L743" s="34"/>
    </row>
    <row r="744" ht="12.75" customHeight="1" spans="2:12">
      <c r="B744" s="29"/>
      <c r="C744" s="29"/>
      <c r="L744" s="34"/>
    </row>
    <row r="745" ht="12.75" customHeight="1" spans="2:12">
      <c r="B745" s="29"/>
      <c r="C745" s="29"/>
      <c r="L745" s="34"/>
    </row>
    <row r="746" ht="12.75" customHeight="1" spans="2:12">
      <c r="B746" s="29"/>
      <c r="C746" s="29"/>
      <c r="L746" s="34"/>
    </row>
    <row r="747" ht="12.75" customHeight="1" spans="2:12">
      <c r="B747" s="29"/>
      <c r="C747" s="29"/>
      <c r="L747" s="34"/>
    </row>
    <row r="748" ht="12.75" customHeight="1" spans="2:12">
      <c r="B748" s="29"/>
      <c r="C748" s="29"/>
      <c r="L748" s="34"/>
    </row>
    <row r="749" ht="12.75" customHeight="1" spans="2:12">
      <c r="B749" s="29"/>
      <c r="C749" s="29"/>
      <c r="L749" s="34"/>
    </row>
    <row r="750" ht="12.75" customHeight="1" spans="2:12">
      <c r="B750" s="29"/>
      <c r="C750" s="29"/>
      <c r="L750" s="34"/>
    </row>
    <row r="751" ht="12.75" customHeight="1" spans="2:12">
      <c r="B751" s="29"/>
      <c r="C751" s="29"/>
      <c r="L751" s="34"/>
    </row>
    <row r="752" ht="12.75" customHeight="1" spans="2:12">
      <c r="B752" s="29"/>
      <c r="C752" s="29"/>
      <c r="L752" s="34"/>
    </row>
    <row r="753" ht="12.75" customHeight="1" spans="2:12">
      <c r="B753" s="29"/>
      <c r="C753" s="29"/>
      <c r="L753" s="34"/>
    </row>
    <row r="754" ht="12.75" customHeight="1" spans="2:12">
      <c r="B754" s="29"/>
      <c r="C754" s="29"/>
      <c r="L754" s="34"/>
    </row>
    <row r="755" ht="12.75" customHeight="1" spans="2:12">
      <c r="B755" s="29"/>
      <c r="C755" s="29"/>
      <c r="L755" s="34"/>
    </row>
    <row r="756" ht="12.75" customHeight="1" spans="2:12">
      <c r="B756" s="29"/>
      <c r="C756" s="29"/>
      <c r="L756" s="34"/>
    </row>
    <row r="757" ht="12.75" customHeight="1" spans="2:12">
      <c r="B757" s="29"/>
      <c r="C757" s="29"/>
      <c r="L757" s="34"/>
    </row>
    <row r="758" ht="12.75" customHeight="1" spans="2:12">
      <c r="B758" s="29"/>
      <c r="C758" s="29"/>
      <c r="L758" s="34"/>
    </row>
    <row r="759" ht="12.75" customHeight="1" spans="2:12">
      <c r="B759" s="29"/>
      <c r="C759" s="29"/>
      <c r="L759" s="34"/>
    </row>
    <row r="760" ht="12.75" customHeight="1" spans="2:12">
      <c r="B760" s="29"/>
      <c r="C760" s="29"/>
      <c r="L760" s="34"/>
    </row>
    <row r="761" ht="12.75" customHeight="1" spans="2:12">
      <c r="B761" s="29"/>
      <c r="C761" s="29"/>
      <c r="L761" s="34"/>
    </row>
    <row r="762" ht="12.75" customHeight="1" spans="2:12">
      <c r="B762" s="29"/>
      <c r="C762" s="29"/>
      <c r="L762" s="34"/>
    </row>
    <row r="763" ht="12.75" customHeight="1" spans="2:12">
      <c r="B763" s="29"/>
      <c r="C763" s="29"/>
      <c r="L763" s="34"/>
    </row>
    <row r="764" ht="12.75" customHeight="1" spans="2:12">
      <c r="B764" s="29"/>
      <c r="C764" s="29"/>
      <c r="L764" s="34"/>
    </row>
    <row r="765" ht="12.75" customHeight="1" spans="2:12">
      <c r="B765" s="29"/>
      <c r="C765" s="29"/>
      <c r="L765" s="34"/>
    </row>
    <row r="766" ht="12.75" customHeight="1" spans="2:12">
      <c r="B766" s="29"/>
      <c r="C766" s="29"/>
      <c r="L766" s="34"/>
    </row>
    <row r="767" ht="12.75" customHeight="1" spans="2:12">
      <c r="B767" s="29"/>
      <c r="C767" s="29"/>
      <c r="L767" s="34"/>
    </row>
    <row r="768" ht="12.75" customHeight="1" spans="2:12">
      <c r="B768" s="29"/>
      <c r="C768" s="29"/>
      <c r="L768" s="34"/>
    </row>
    <row r="769" ht="12.75" customHeight="1" spans="2:12">
      <c r="B769" s="29"/>
      <c r="C769" s="29"/>
      <c r="L769" s="34"/>
    </row>
    <row r="770" ht="12.75" customHeight="1" spans="2:12">
      <c r="B770" s="29"/>
      <c r="C770" s="29"/>
      <c r="L770" s="34"/>
    </row>
    <row r="771" ht="12.75" customHeight="1" spans="2:12">
      <c r="B771" s="29"/>
      <c r="C771" s="29"/>
      <c r="L771" s="34"/>
    </row>
    <row r="772" ht="12.75" customHeight="1" spans="2:12">
      <c r="B772" s="29"/>
      <c r="C772" s="29"/>
      <c r="L772" s="34"/>
    </row>
    <row r="773" ht="12.75" customHeight="1" spans="2:12">
      <c r="B773" s="29"/>
      <c r="C773" s="29"/>
      <c r="L773" s="34"/>
    </row>
    <row r="774" ht="12.75" customHeight="1" spans="2:12">
      <c r="B774" s="29"/>
      <c r="C774" s="29"/>
      <c r="L774" s="34"/>
    </row>
    <row r="775" ht="12.75" customHeight="1" spans="2:12">
      <c r="B775" s="29"/>
      <c r="C775" s="29"/>
      <c r="L775" s="34"/>
    </row>
    <row r="776" ht="12.75" customHeight="1" spans="2:12">
      <c r="B776" s="29"/>
      <c r="C776" s="29"/>
      <c r="L776" s="34"/>
    </row>
    <row r="777" ht="12.75" customHeight="1" spans="2:12">
      <c r="B777" s="29"/>
      <c r="C777" s="29"/>
      <c r="L777" s="34"/>
    </row>
    <row r="778" ht="12.75" customHeight="1" spans="2:12">
      <c r="B778" s="29"/>
      <c r="C778" s="29"/>
      <c r="L778" s="34"/>
    </row>
    <row r="779" ht="12.75" customHeight="1" spans="2:12">
      <c r="B779" s="29"/>
      <c r="C779" s="29"/>
      <c r="L779" s="34"/>
    </row>
    <row r="780" ht="12.75" customHeight="1" spans="2:12">
      <c r="B780" s="29"/>
      <c r="C780" s="29"/>
      <c r="L780" s="34"/>
    </row>
    <row r="781" ht="12.75" customHeight="1" spans="2:12">
      <c r="B781" s="29"/>
      <c r="C781" s="29"/>
      <c r="L781" s="34"/>
    </row>
    <row r="782" ht="12.75" customHeight="1" spans="2:12">
      <c r="B782" s="29"/>
      <c r="C782" s="29"/>
      <c r="L782" s="34"/>
    </row>
    <row r="783" ht="12.75" customHeight="1" spans="2:12">
      <c r="B783" s="29"/>
      <c r="C783" s="29"/>
      <c r="L783" s="34"/>
    </row>
    <row r="784" ht="12.75" customHeight="1" spans="2:12">
      <c r="B784" s="29"/>
      <c r="C784" s="29"/>
      <c r="L784" s="34"/>
    </row>
    <row r="785" ht="12.75" customHeight="1" spans="2:12">
      <c r="B785" s="29"/>
      <c r="C785" s="29"/>
      <c r="L785" s="34"/>
    </row>
    <row r="786" ht="12.75" customHeight="1" spans="2:12">
      <c r="B786" s="29"/>
      <c r="C786" s="29"/>
      <c r="L786" s="34"/>
    </row>
    <row r="787" ht="12.75" customHeight="1" spans="2:12">
      <c r="B787" s="29"/>
      <c r="C787" s="29"/>
      <c r="L787" s="34"/>
    </row>
    <row r="788" ht="12.75" customHeight="1" spans="2:12">
      <c r="B788" s="29"/>
      <c r="C788" s="29"/>
      <c r="L788" s="34"/>
    </row>
    <row r="789" ht="12.75" customHeight="1" spans="2:12">
      <c r="B789" s="29"/>
      <c r="C789" s="29"/>
      <c r="L789" s="34"/>
    </row>
    <row r="790" ht="12.75" customHeight="1" spans="2:12">
      <c r="B790" s="29"/>
      <c r="C790" s="29"/>
      <c r="L790" s="34"/>
    </row>
    <row r="791" ht="12.75" customHeight="1" spans="2:12">
      <c r="B791" s="29"/>
      <c r="C791" s="29"/>
      <c r="L791" s="34"/>
    </row>
    <row r="792" ht="12.75" customHeight="1" spans="2:12">
      <c r="B792" s="29"/>
      <c r="C792" s="29"/>
      <c r="L792" s="34"/>
    </row>
    <row r="793" ht="12.75" customHeight="1" spans="2:12">
      <c r="B793" s="29"/>
      <c r="C793" s="29"/>
      <c r="L793" s="34"/>
    </row>
    <row r="794" ht="12.75" customHeight="1" spans="2:12">
      <c r="B794" s="29"/>
      <c r="C794" s="29"/>
      <c r="L794" s="34"/>
    </row>
    <row r="795" ht="12.75" customHeight="1" spans="2:12">
      <c r="B795" s="29"/>
      <c r="C795" s="29"/>
      <c r="L795" s="34"/>
    </row>
    <row r="796" ht="12.75" customHeight="1" spans="2:12">
      <c r="B796" s="29"/>
      <c r="C796" s="29"/>
      <c r="L796" s="34"/>
    </row>
    <row r="797" ht="12.75" customHeight="1" spans="2:12">
      <c r="B797" s="29"/>
      <c r="C797" s="29"/>
      <c r="L797" s="34"/>
    </row>
    <row r="798" ht="12.75" customHeight="1" spans="2:12">
      <c r="B798" s="29"/>
      <c r="C798" s="29"/>
      <c r="L798" s="34"/>
    </row>
    <row r="799" ht="12.75" customHeight="1" spans="2:12">
      <c r="B799" s="29"/>
      <c r="C799" s="29"/>
      <c r="L799" s="34"/>
    </row>
    <row r="800" ht="12.75" customHeight="1" spans="2:12">
      <c r="B800" s="29"/>
      <c r="C800" s="29"/>
      <c r="L800" s="34"/>
    </row>
    <row r="801" ht="12.75" customHeight="1" spans="2:12">
      <c r="B801" s="29"/>
      <c r="C801" s="29"/>
      <c r="L801" s="34"/>
    </row>
    <row r="802" ht="12.75" customHeight="1" spans="2:12">
      <c r="B802" s="29"/>
      <c r="C802" s="29"/>
      <c r="L802" s="34"/>
    </row>
    <row r="803" ht="12.75" customHeight="1" spans="2:12">
      <c r="B803" s="29"/>
      <c r="C803" s="29"/>
      <c r="L803" s="34"/>
    </row>
    <row r="804" ht="12.75" customHeight="1" spans="2:12">
      <c r="B804" s="29"/>
      <c r="C804" s="29"/>
      <c r="L804" s="34"/>
    </row>
    <row r="805" ht="12.75" customHeight="1" spans="2:12">
      <c r="B805" s="29"/>
      <c r="C805" s="29"/>
      <c r="L805" s="34"/>
    </row>
    <row r="806" ht="12.75" customHeight="1" spans="2:12">
      <c r="B806" s="29"/>
      <c r="C806" s="29"/>
      <c r="L806" s="34"/>
    </row>
    <row r="807" ht="12.75" customHeight="1" spans="2:12">
      <c r="B807" s="29"/>
      <c r="C807" s="29"/>
      <c r="L807" s="34"/>
    </row>
    <row r="808" ht="12.75" customHeight="1" spans="2:12">
      <c r="B808" s="29"/>
      <c r="C808" s="29"/>
      <c r="L808" s="34"/>
    </row>
    <row r="809" ht="12.75" customHeight="1" spans="2:12">
      <c r="B809" s="29"/>
      <c r="C809" s="29"/>
      <c r="L809" s="34"/>
    </row>
    <row r="810" ht="12.75" customHeight="1" spans="2:12">
      <c r="B810" s="29"/>
      <c r="C810" s="29"/>
      <c r="L810" s="34"/>
    </row>
    <row r="811" ht="12.75" customHeight="1" spans="2:12">
      <c r="B811" s="29"/>
      <c r="C811" s="29"/>
      <c r="L811" s="34"/>
    </row>
    <row r="812" ht="12.75" customHeight="1" spans="2:12">
      <c r="B812" s="29"/>
      <c r="C812" s="29"/>
      <c r="L812" s="34"/>
    </row>
    <row r="813" ht="12.75" customHeight="1" spans="2:12">
      <c r="B813" s="29"/>
      <c r="C813" s="29"/>
      <c r="L813" s="34"/>
    </row>
    <row r="814" ht="12.75" customHeight="1" spans="2:12">
      <c r="B814" s="29"/>
      <c r="C814" s="29"/>
      <c r="L814" s="34"/>
    </row>
    <row r="815" ht="12.75" customHeight="1" spans="2:12">
      <c r="B815" s="29"/>
      <c r="C815" s="29"/>
      <c r="L815" s="34"/>
    </row>
    <row r="816" ht="12.75" customHeight="1" spans="2:12">
      <c r="B816" s="29"/>
      <c r="C816" s="29"/>
      <c r="L816" s="34"/>
    </row>
    <row r="817" ht="12.75" customHeight="1" spans="2:12">
      <c r="B817" s="29"/>
      <c r="C817" s="29"/>
      <c r="L817" s="34"/>
    </row>
    <row r="818" ht="12.75" customHeight="1" spans="2:12">
      <c r="B818" s="29"/>
      <c r="C818" s="29"/>
      <c r="L818" s="34"/>
    </row>
    <row r="819" ht="12.75" customHeight="1" spans="2:12">
      <c r="B819" s="29"/>
      <c r="C819" s="29"/>
      <c r="L819" s="34"/>
    </row>
    <row r="820" ht="12.75" customHeight="1" spans="2:12">
      <c r="B820" s="29"/>
      <c r="C820" s="29"/>
      <c r="L820" s="34"/>
    </row>
    <row r="821" ht="12.75" customHeight="1" spans="2:12">
      <c r="B821" s="29"/>
      <c r="C821" s="29"/>
      <c r="L821" s="34"/>
    </row>
    <row r="822" ht="12.75" customHeight="1" spans="2:12">
      <c r="B822" s="29"/>
      <c r="C822" s="29"/>
      <c r="L822" s="34"/>
    </row>
    <row r="823" ht="12.75" customHeight="1" spans="2:12">
      <c r="B823" s="29"/>
      <c r="C823" s="29"/>
      <c r="L823" s="34"/>
    </row>
    <row r="824" ht="12.75" customHeight="1" spans="2:12">
      <c r="B824" s="29"/>
      <c r="C824" s="29"/>
      <c r="L824" s="34"/>
    </row>
    <row r="825" ht="12.75" customHeight="1" spans="2:12">
      <c r="B825" s="29"/>
      <c r="C825" s="29"/>
      <c r="L825" s="34"/>
    </row>
    <row r="826" ht="12.75" customHeight="1" spans="2:12">
      <c r="B826" s="29"/>
      <c r="C826" s="29"/>
      <c r="L826" s="34"/>
    </row>
    <row r="827" ht="12.75" customHeight="1" spans="2:12">
      <c r="B827" s="29"/>
      <c r="C827" s="29"/>
      <c r="L827" s="34"/>
    </row>
    <row r="828" ht="12.75" customHeight="1" spans="2:12">
      <c r="B828" s="29"/>
      <c r="C828" s="29"/>
      <c r="L828" s="34"/>
    </row>
    <row r="829" ht="12.75" customHeight="1" spans="2:12">
      <c r="B829" s="29"/>
      <c r="C829" s="29"/>
      <c r="L829" s="34"/>
    </row>
    <row r="830" ht="12.75" customHeight="1" spans="2:12">
      <c r="B830" s="29"/>
      <c r="C830" s="29"/>
      <c r="L830" s="34"/>
    </row>
    <row r="831" ht="12.75" customHeight="1" spans="2:12">
      <c r="B831" s="29"/>
      <c r="C831" s="29"/>
      <c r="L831" s="34"/>
    </row>
    <row r="832" ht="12.75" customHeight="1" spans="2:12">
      <c r="B832" s="29"/>
      <c r="C832" s="29"/>
      <c r="L832" s="34"/>
    </row>
    <row r="833" ht="12.75" customHeight="1" spans="2:12">
      <c r="B833" s="29"/>
      <c r="C833" s="29"/>
      <c r="L833" s="34"/>
    </row>
    <row r="834" ht="12.75" customHeight="1" spans="2:12">
      <c r="B834" s="29"/>
      <c r="C834" s="29"/>
      <c r="L834" s="34"/>
    </row>
    <row r="835" ht="12.75" customHeight="1" spans="2:12">
      <c r="B835" s="29"/>
      <c r="C835" s="29"/>
      <c r="L835" s="34"/>
    </row>
    <row r="836" ht="12.75" customHeight="1" spans="2:12">
      <c r="B836" s="29"/>
      <c r="C836" s="29"/>
      <c r="L836" s="34"/>
    </row>
    <row r="837" ht="12.75" customHeight="1" spans="2:12">
      <c r="B837" s="29"/>
      <c r="C837" s="29"/>
      <c r="L837" s="34"/>
    </row>
    <row r="838" ht="12.75" customHeight="1" spans="2:12">
      <c r="B838" s="29"/>
      <c r="C838" s="29"/>
      <c r="L838" s="34"/>
    </row>
    <row r="839" ht="12.75" customHeight="1" spans="2:12">
      <c r="B839" s="29"/>
      <c r="C839" s="29"/>
      <c r="L839" s="34"/>
    </row>
    <row r="840" ht="12.75" customHeight="1" spans="2:12">
      <c r="B840" s="29"/>
      <c r="C840" s="29"/>
      <c r="L840" s="34"/>
    </row>
    <row r="841" ht="12.75" customHeight="1" spans="2:12">
      <c r="B841" s="29"/>
      <c r="C841" s="29"/>
      <c r="L841" s="34"/>
    </row>
    <row r="842" ht="12.75" customHeight="1" spans="2:12">
      <c r="B842" s="29"/>
      <c r="C842" s="29"/>
      <c r="L842" s="34"/>
    </row>
    <row r="843" ht="12.75" customHeight="1" spans="2:12">
      <c r="B843" s="29"/>
      <c r="C843" s="29"/>
      <c r="L843" s="34"/>
    </row>
    <row r="844" ht="12.75" customHeight="1" spans="2:12">
      <c r="B844" s="29"/>
      <c r="C844" s="29"/>
      <c r="L844" s="34"/>
    </row>
    <row r="845" ht="12.75" customHeight="1" spans="2:12">
      <c r="B845" s="29"/>
      <c r="C845" s="29"/>
      <c r="L845" s="34"/>
    </row>
    <row r="846" ht="12.75" customHeight="1" spans="2:12">
      <c r="B846" s="29"/>
      <c r="C846" s="29"/>
      <c r="L846" s="34"/>
    </row>
    <row r="847" ht="12.75" customHeight="1" spans="2:12">
      <c r="B847" s="29"/>
      <c r="C847" s="29"/>
      <c r="L847" s="34"/>
    </row>
    <row r="848" ht="12.75" customHeight="1" spans="2:12">
      <c r="B848" s="29"/>
      <c r="C848" s="29"/>
      <c r="L848" s="34"/>
    </row>
    <row r="849" ht="12.75" customHeight="1" spans="2:12">
      <c r="B849" s="29"/>
      <c r="C849" s="29"/>
      <c r="L849" s="34"/>
    </row>
    <row r="850" ht="12.75" customHeight="1" spans="2:12">
      <c r="B850" s="29"/>
      <c r="C850" s="29"/>
      <c r="L850" s="34"/>
    </row>
    <row r="851" ht="12.75" customHeight="1" spans="2:12">
      <c r="B851" s="29"/>
      <c r="C851" s="29"/>
      <c r="L851" s="34"/>
    </row>
    <row r="852" ht="12.75" customHeight="1" spans="2:12">
      <c r="B852" s="29"/>
      <c r="C852" s="29"/>
      <c r="L852" s="34"/>
    </row>
    <row r="853" ht="12.75" customHeight="1" spans="2:12">
      <c r="B853" s="29"/>
      <c r="C853" s="29"/>
      <c r="L853" s="34"/>
    </row>
    <row r="854" ht="12.75" customHeight="1" spans="2:12">
      <c r="B854" s="29"/>
      <c r="C854" s="29"/>
      <c r="L854" s="34"/>
    </row>
    <row r="855" ht="12.75" customHeight="1" spans="2:12">
      <c r="B855" s="29"/>
      <c r="C855" s="29"/>
      <c r="L855" s="34"/>
    </row>
    <row r="856" ht="12.75" customHeight="1" spans="2:12">
      <c r="B856" s="29"/>
      <c r="C856" s="29"/>
      <c r="L856" s="34"/>
    </row>
    <row r="857" ht="12.75" customHeight="1" spans="2:12">
      <c r="B857" s="29"/>
      <c r="C857" s="29"/>
      <c r="L857" s="34"/>
    </row>
    <row r="858" ht="12.75" customHeight="1" spans="2:12">
      <c r="B858" s="29"/>
      <c r="C858" s="29"/>
      <c r="L858" s="34"/>
    </row>
    <row r="859" ht="12.75" customHeight="1" spans="2:12">
      <c r="B859" s="29"/>
      <c r="C859" s="29"/>
      <c r="L859" s="34"/>
    </row>
    <row r="860" ht="12.75" customHeight="1" spans="2:12">
      <c r="B860" s="29"/>
      <c r="C860" s="29"/>
      <c r="L860" s="34"/>
    </row>
    <row r="861" ht="12.75" customHeight="1" spans="2:12">
      <c r="B861" s="29"/>
      <c r="C861" s="29"/>
      <c r="L861" s="34"/>
    </row>
    <row r="862" ht="12.75" customHeight="1" spans="2:12">
      <c r="B862" s="29"/>
      <c r="C862" s="29"/>
      <c r="L862" s="34"/>
    </row>
    <row r="863" ht="12.75" customHeight="1" spans="2:12">
      <c r="B863" s="29"/>
      <c r="C863" s="29"/>
      <c r="L863" s="34"/>
    </row>
    <row r="864" ht="12.75" customHeight="1" spans="2:12">
      <c r="B864" s="29"/>
      <c r="C864" s="29"/>
      <c r="L864" s="34"/>
    </row>
    <row r="865" ht="12.75" customHeight="1" spans="2:12">
      <c r="B865" s="29"/>
      <c r="C865" s="29"/>
      <c r="L865" s="34"/>
    </row>
    <row r="866" ht="12.75" customHeight="1" spans="2:12">
      <c r="B866" s="29"/>
      <c r="C866" s="29"/>
      <c r="L866" s="34"/>
    </row>
    <row r="867" ht="12.75" customHeight="1" spans="2:12">
      <c r="B867" s="29"/>
      <c r="C867" s="29"/>
      <c r="L867" s="34"/>
    </row>
    <row r="868" ht="12.75" customHeight="1" spans="2:12">
      <c r="B868" s="29"/>
      <c r="C868" s="29"/>
      <c r="L868" s="34"/>
    </row>
    <row r="869" ht="12.75" customHeight="1" spans="2:12">
      <c r="B869" s="29"/>
      <c r="C869" s="29"/>
      <c r="L869" s="34"/>
    </row>
    <row r="870" ht="12.75" customHeight="1" spans="2:12">
      <c r="B870" s="29"/>
      <c r="C870" s="29"/>
      <c r="L870" s="34"/>
    </row>
    <row r="871" ht="12.75" customHeight="1" spans="2:12">
      <c r="B871" s="29"/>
      <c r="C871" s="29"/>
      <c r="L871" s="34"/>
    </row>
    <row r="872" ht="12.75" customHeight="1" spans="2:12">
      <c r="B872" s="29"/>
      <c r="C872" s="29"/>
      <c r="L872" s="34"/>
    </row>
    <row r="873" ht="12.75" customHeight="1" spans="2:12">
      <c r="B873" s="29"/>
      <c r="C873" s="29"/>
      <c r="L873" s="34"/>
    </row>
    <row r="874" ht="12.75" customHeight="1" spans="2:12">
      <c r="B874" s="29"/>
      <c r="C874" s="29"/>
      <c r="L874" s="34"/>
    </row>
    <row r="875" ht="12.75" customHeight="1" spans="2:12">
      <c r="B875" s="29"/>
      <c r="C875" s="29"/>
      <c r="L875" s="34"/>
    </row>
    <row r="876" ht="12.75" customHeight="1" spans="2:12">
      <c r="B876" s="29"/>
      <c r="C876" s="29"/>
      <c r="L876" s="34"/>
    </row>
    <row r="877" ht="12.75" customHeight="1" spans="2:12">
      <c r="B877" s="29"/>
      <c r="C877" s="29"/>
      <c r="L877" s="34"/>
    </row>
    <row r="878" ht="12.75" customHeight="1" spans="2:12">
      <c r="B878" s="29"/>
      <c r="C878" s="29"/>
      <c r="L878" s="34"/>
    </row>
    <row r="879" ht="12.75" customHeight="1" spans="2:12">
      <c r="B879" s="29"/>
      <c r="C879" s="29"/>
      <c r="L879" s="34"/>
    </row>
    <row r="880" ht="12.75" customHeight="1" spans="2:12">
      <c r="B880" s="29"/>
      <c r="C880" s="29"/>
      <c r="L880" s="34"/>
    </row>
    <row r="881" ht="12.75" customHeight="1" spans="2:12">
      <c r="B881" s="29"/>
      <c r="C881" s="29"/>
      <c r="L881" s="34"/>
    </row>
    <row r="882" ht="12.75" customHeight="1" spans="2:12">
      <c r="B882" s="29"/>
      <c r="C882" s="29"/>
      <c r="L882" s="34"/>
    </row>
    <row r="883" ht="12.75" customHeight="1" spans="2:12">
      <c r="B883" s="29"/>
      <c r="C883" s="29"/>
      <c r="L883" s="34"/>
    </row>
    <row r="884" ht="12.75" customHeight="1" spans="2:12">
      <c r="B884" s="29"/>
      <c r="C884" s="29"/>
      <c r="L884" s="34"/>
    </row>
    <row r="885" ht="12.75" customHeight="1" spans="2:12">
      <c r="B885" s="29"/>
      <c r="C885" s="29"/>
      <c r="L885" s="34"/>
    </row>
    <row r="886" ht="12.75" customHeight="1" spans="2:12">
      <c r="B886" s="29"/>
      <c r="C886" s="29"/>
      <c r="L886" s="34"/>
    </row>
    <row r="887" ht="12.75" customHeight="1" spans="2:12">
      <c r="B887" s="29"/>
      <c r="C887" s="29"/>
      <c r="L887" s="34"/>
    </row>
    <row r="888" ht="12.75" customHeight="1" spans="2:12">
      <c r="B888" s="29"/>
      <c r="C888" s="29"/>
      <c r="L888" s="34"/>
    </row>
    <row r="889" ht="12.75" customHeight="1" spans="2:12">
      <c r="B889" s="29"/>
      <c r="C889" s="29"/>
      <c r="L889" s="34"/>
    </row>
    <row r="890" ht="12.75" customHeight="1" spans="2:12">
      <c r="B890" s="29"/>
      <c r="C890" s="29"/>
      <c r="L890" s="34"/>
    </row>
    <row r="891" ht="12.75" customHeight="1" spans="2:12">
      <c r="B891" s="29"/>
      <c r="C891" s="29"/>
      <c r="L891" s="34"/>
    </row>
    <row r="892" ht="12.75" customHeight="1" spans="2:12">
      <c r="B892" s="29"/>
      <c r="C892" s="29"/>
      <c r="L892" s="34"/>
    </row>
    <row r="893" ht="12.75" customHeight="1" spans="2:12">
      <c r="B893" s="29"/>
      <c r="C893" s="29"/>
      <c r="L893" s="34"/>
    </row>
    <row r="894" ht="12.75" customHeight="1" spans="2:12">
      <c r="B894" s="29"/>
      <c r="C894" s="29"/>
      <c r="L894" s="34"/>
    </row>
    <row r="895" ht="12.75" customHeight="1" spans="2:12">
      <c r="B895" s="29"/>
      <c r="C895" s="29"/>
      <c r="L895" s="34"/>
    </row>
    <row r="896" ht="12.75" customHeight="1" spans="2:12">
      <c r="B896" s="29"/>
      <c r="C896" s="29"/>
      <c r="L896" s="34"/>
    </row>
    <row r="897" ht="12.75" customHeight="1" spans="2:12">
      <c r="B897" s="29"/>
      <c r="C897" s="29"/>
      <c r="L897" s="34"/>
    </row>
    <row r="898" ht="12.75" customHeight="1" spans="2:12">
      <c r="B898" s="29"/>
      <c r="C898" s="29"/>
      <c r="L898" s="34"/>
    </row>
    <row r="899" ht="12.75" customHeight="1" spans="2:12">
      <c r="B899" s="29"/>
      <c r="C899" s="29"/>
      <c r="L899" s="34"/>
    </row>
    <row r="900" ht="12.75" customHeight="1" spans="2:12">
      <c r="B900" s="29"/>
      <c r="C900" s="29"/>
      <c r="L900" s="34"/>
    </row>
    <row r="901" ht="12.75" customHeight="1" spans="2:12">
      <c r="B901" s="29"/>
      <c r="C901" s="29"/>
      <c r="L901" s="34"/>
    </row>
    <row r="902" ht="12.75" customHeight="1" spans="2:12">
      <c r="B902" s="29"/>
      <c r="C902" s="29"/>
      <c r="L902" s="34"/>
    </row>
    <row r="903" ht="12.75" customHeight="1" spans="2:12">
      <c r="B903" s="29"/>
      <c r="C903" s="29"/>
      <c r="L903" s="34"/>
    </row>
    <row r="904" ht="12.75" customHeight="1" spans="2:12">
      <c r="B904" s="29"/>
      <c r="C904" s="29"/>
      <c r="L904" s="34"/>
    </row>
    <row r="905" ht="12.75" customHeight="1" spans="2:12">
      <c r="B905" s="29"/>
      <c r="C905" s="29"/>
      <c r="L905" s="34"/>
    </row>
    <row r="906" ht="12.75" customHeight="1" spans="2:12">
      <c r="B906" s="29"/>
      <c r="C906" s="29"/>
      <c r="L906" s="34"/>
    </row>
    <row r="907" ht="12.75" customHeight="1" spans="2:12">
      <c r="B907" s="29"/>
      <c r="C907" s="29"/>
      <c r="L907" s="34"/>
    </row>
    <row r="908" ht="12.75" customHeight="1" spans="2:12">
      <c r="B908" s="29"/>
      <c r="C908" s="29"/>
      <c r="L908" s="34"/>
    </row>
    <row r="909" ht="12.75" customHeight="1" spans="2:12">
      <c r="B909" s="29"/>
      <c r="C909" s="29"/>
      <c r="L909" s="34"/>
    </row>
    <row r="910" ht="12.75" customHeight="1" spans="2:12">
      <c r="B910" s="29"/>
      <c r="C910" s="29"/>
      <c r="L910" s="34"/>
    </row>
    <row r="911" ht="12.75" customHeight="1" spans="2:12">
      <c r="B911" s="29"/>
      <c r="C911" s="29"/>
      <c r="L911" s="34"/>
    </row>
    <row r="912" ht="12.75" customHeight="1" spans="2:12">
      <c r="B912" s="29"/>
      <c r="C912" s="29"/>
      <c r="L912" s="34"/>
    </row>
    <row r="913" ht="12.75" customHeight="1" spans="2:12">
      <c r="B913" s="29"/>
      <c r="C913" s="29"/>
      <c r="L913" s="34"/>
    </row>
    <row r="914" ht="12.75" customHeight="1" spans="2:12">
      <c r="B914" s="29"/>
      <c r="C914" s="29"/>
      <c r="L914" s="34"/>
    </row>
    <row r="915" ht="12.75" customHeight="1" spans="2:12">
      <c r="B915" s="29"/>
      <c r="C915" s="29"/>
      <c r="L915" s="34"/>
    </row>
    <row r="916" ht="12.75" customHeight="1" spans="2:12">
      <c r="B916" s="29"/>
      <c r="C916" s="29"/>
      <c r="L916" s="34"/>
    </row>
    <row r="917" ht="12.75" customHeight="1" spans="2:12">
      <c r="B917" s="29"/>
      <c r="C917" s="29"/>
      <c r="L917" s="34"/>
    </row>
    <row r="918" ht="12.75" customHeight="1" spans="2:12">
      <c r="B918" s="29"/>
      <c r="C918" s="29"/>
      <c r="L918" s="34"/>
    </row>
    <row r="919" ht="12.75" customHeight="1" spans="2:12">
      <c r="B919" s="29"/>
      <c r="C919" s="29"/>
      <c r="L919" s="34"/>
    </row>
    <row r="920" ht="12.75" customHeight="1" spans="2:12">
      <c r="B920" s="29"/>
      <c r="C920" s="29"/>
      <c r="L920" s="34"/>
    </row>
    <row r="921" ht="12.75" customHeight="1" spans="2:12">
      <c r="B921" s="29"/>
      <c r="C921" s="29"/>
      <c r="L921" s="34"/>
    </row>
    <row r="922" ht="12.75" customHeight="1" spans="2:12">
      <c r="B922" s="29"/>
      <c r="C922" s="29"/>
      <c r="L922" s="34"/>
    </row>
    <row r="923" ht="12.75" customHeight="1" spans="2:12">
      <c r="B923" s="29"/>
      <c r="C923" s="29"/>
      <c r="L923" s="34"/>
    </row>
    <row r="924" ht="12.75" customHeight="1" spans="2:12">
      <c r="B924" s="29"/>
      <c r="C924" s="29"/>
      <c r="L924" s="34"/>
    </row>
    <row r="925" ht="12.75" customHeight="1" spans="2:12">
      <c r="B925" s="29"/>
      <c r="C925" s="29"/>
      <c r="L925" s="34"/>
    </row>
    <row r="926" ht="12.75" customHeight="1" spans="2:12">
      <c r="B926" s="29"/>
      <c r="C926" s="29"/>
      <c r="L926" s="34"/>
    </row>
    <row r="927" ht="12.75" customHeight="1" spans="2:12">
      <c r="B927" s="29"/>
      <c r="C927" s="29"/>
      <c r="L927" s="34"/>
    </row>
    <row r="928" ht="12.75" customHeight="1" spans="2:12">
      <c r="B928" s="29"/>
      <c r="C928" s="29"/>
      <c r="L928" s="34"/>
    </row>
    <row r="929" ht="12.75" customHeight="1" spans="2:12">
      <c r="B929" s="29"/>
      <c r="C929" s="29"/>
      <c r="L929" s="34"/>
    </row>
    <row r="930" ht="12.75" customHeight="1" spans="2:12">
      <c r="B930" s="29"/>
      <c r="C930" s="29"/>
      <c r="L930" s="34"/>
    </row>
    <row r="931" ht="12.75" customHeight="1" spans="2:12">
      <c r="B931" s="29"/>
      <c r="C931" s="29"/>
      <c r="L931" s="34"/>
    </row>
    <row r="932" ht="12.75" customHeight="1" spans="2:12">
      <c r="B932" s="29"/>
      <c r="C932" s="29"/>
      <c r="L932" s="34"/>
    </row>
    <row r="933" ht="12.75" customHeight="1" spans="2:12">
      <c r="B933" s="29"/>
      <c r="C933" s="29"/>
      <c r="L933" s="34"/>
    </row>
    <row r="934" ht="12.75" customHeight="1" spans="2:12">
      <c r="B934" s="29"/>
      <c r="C934" s="29"/>
      <c r="L934" s="34"/>
    </row>
    <row r="935" ht="12.75" customHeight="1" spans="2:12">
      <c r="B935" s="29"/>
      <c r="C935" s="29"/>
      <c r="L935" s="34"/>
    </row>
    <row r="936" ht="12.75" customHeight="1" spans="2:12">
      <c r="B936" s="29"/>
      <c r="C936" s="29"/>
      <c r="L936" s="34"/>
    </row>
    <row r="937" ht="12.75" customHeight="1" spans="2:12">
      <c r="B937" s="29"/>
      <c r="C937" s="29"/>
      <c r="L937" s="34"/>
    </row>
    <row r="938" ht="12.75" customHeight="1" spans="2:12">
      <c r="B938" s="29"/>
      <c r="C938" s="29"/>
      <c r="L938" s="34"/>
    </row>
    <row r="939" ht="12.75" customHeight="1" spans="2:12">
      <c r="B939" s="29"/>
      <c r="C939" s="29"/>
      <c r="L939" s="34"/>
    </row>
    <row r="940" ht="12.75" customHeight="1" spans="2:12">
      <c r="B940" s="29"/>
      <c r="C940" s="29"/>
      <c r="L940" s="34"/>
    </row>
    <row r="941" ht="12.75" customHeight="1" spans="2:12">
      <c r="B941" s="29"/>
      <c r="C941" s="29"/>
      <c r="L941" s="34"/>
    </row>
    <row r="942" ht="12.75" customHeight="1" spans="2:12">
      <c r="B942" s="29"/>
      <c r="C942" s="29"/>
      <c r="L942" s="34"/>
    </row>
    <row r="943" ht="12.75" customHeight="1" spans="2:12">
      <c r="B943" s="29"/>
      <c r="C943" s="29"/>
      <c r="L943" s="34"/>
    </row>
    <row r="944" ht="12.75" customHeight="1" spans="2:12">
      <c r="B944" s="29"/>
      <c r="C944" s="29"/>
      <c r="L944" s="34"/>
    </row>
    <row r="945" ht="12.75" customHeight="1" spans="2:12">
      <c r="B945" s="29"/>
      <c r="C945" s="29"/>
      <c r="L945" s="34"/>
    </row>
    <row r="946" ht="12.75" customHeight="1" spans="2:12">
      <c r="B946" s="29"/>
      <c r="C946" s="29"/>
      <c r="L946" s="34"/>
    </row>
    <row r="947" ht="12.75" customHeight="1" spans="2:12">
      <c r="B947" s="29"/>
      <c r="C947" s="29"/>
      <c r="L947" s="34"/>
    </row>
    <row r="948" ht="12.75" customHeight="1" spans="2:12">
      <c r="B948" s="29"/>
      <c r="C948" s="29"/>
      <c r="L948" s="34"/>
    </row>
    <row r="949" ht="12.75" customHeight="1" spans="2:12">
      <c r="B949" s="29"/>
      <c r="C949" s="29"/>
      <c r="L949" s="34"/>
    </row>
    <row r="950" ht="12.75" customHeight="1" spans="2:12">
      <c r="B950" s="29"/>
      <c r="C950" s="29"/>
      <c r="L950" s="34"/>
    </row>
    <row r="951" ht="12.75" customHeight="1" spans="2:12">
      <c r="B951" s="29"/>
      <c r="C951" s="29"/>
      <c r="L951" s="34"/>
    </row>
    <row r="952" ht="12.75" customHeight="1" spans="2:12">
      <c r="B952" s="29"/>
      <c r="C952" s="29"/>
      <c r="L952" s="34"/>
    </row>
    <row r="953" ht="12.75" customHeight="1" spans="2:12">
      <c r="B953" s="29"/>
      <c r="C953" s="29"/>
      <c r="L953" s="34"/>
    </row>
    <row r="954" ht="12.75" customHeight="1" spans="2:12">
      <c r="B954" s="29"/>
      <c r="C954" s="29"/>
      <c r="L954" s="34"/>
    </row>
    <row r="955" ht="12.75" customHeight="1" spans="2:12">
      <c r="B955" s="29"/>
      <c r="C955" s="29"/>
      <c r="L955" s="34"/>
    </row>
    <row r="956" ht="12.75" customHeight="1" spans="2:12">
      <c r="B956" s="29"/>
      <c r="C956" s="29"/>
      <c r="L956" s="34"/>
    </row>
    <row r="957" ht="12.75" customHeight="1" spans="2:12">
      <c r="B957" s="29"/>
      <c r="C957" s="29"/>
      <c r="L957" s="34"/>
    </row>
    <row r="958" ht="12.75" customHeight="1" spans="2:12">
      <c r="B958" s="29"/>
      <c r="C958" s="29"/>
      <c r="L958" s="34"/>
    </row>
    <row r="959" ht="12.75" customHeight="1" spans="2:12">
      <c r="B959" s="29"/>
      <c r="C959" s="29"/>
      <c r="L959" s="34"/>
    </row>
    <row r="960" ht="12.75" customHeight="1" spans="2:12">
      <c r="B960" s="29"/>
      <c r="C960" s="29"/>
      <c r="L960" s="34"/>
    </row>
    <row r="961" ht="12.75" customHeight="1" spans="2:12">
      <c r="B961" s="29"/>
      <c r="C961" s="29"/>
      <c r="L961" s="34"/>
    </row>
    <row r="962" ht="12.75" customHeight="1" spans="2:12">
      <c r="B962" s="29"/>
      <c r="C962" s="29"/>
      <c r="L962" s="34"/>
    </row>
    <row r="963" ht="12.75" customHeight="1" spans="2:12">
      <c r="B963" s="29"/>
      <c r="C963" s="29"/>
      <c r="L963" s="34"/>
    </row>
    <row r="964" ht="12.75" customHeight="1" spans="2:12">
      <c r="B964" s="29"/>
      <c r="C964" s="29"/>
      <c r="L964" s="34"/>
    </row>
    <row r="965" ht="12.75" customHeight="1" spans="2:12">
      <c r="B965" s="29"/>
      <c r="C965" s="29"/>
      <c r="L965" s="34"/>
    </row>
    <row r="966" ht="12.75" customHeight="1" spans="2:12">
      <c r="B966" s="29"/>
      <c r="C966" s="29"/>
      <c r="L966" s="34"/>
    </row>
    <row r="967" ht="12.75" customHeight="1" spans="2:12">
      <c r="B967" s="29"/>
      <c r="C967" s="29"/>
      <c r="L967" s="34"/>
    </row>
    <row r="968" ht="12.75" customHeight="1" spans="2:12">
      <c r="B968" s="29"/>
      <c r="C968" s="29"/>
      <c r="L968" s="34"/>
    </row>
    <row r="969" ht="12.75" customHeight="1" spans="2:12">
      <c r="B969" s="29"/>
      <c r="C969" s="29"/>
      <c r="L969" s="34"/>
    </row>
    <row r="970" ht="12.75" customHeight="1" spans="2:12">
      <c r="B970" s="29"/>
      <c r="C970" s="29"/>
      <c r="L970" s="34"/>
    </row>
    <row r="971" ht="12.75" customHeight="1" spans="2:12">
      <c r="B971" s="29"/>
      <c r="C971" s="29"/>
      <c r="L971" s="34"/>
    </row>
    <row r="972" ht="12.75" customHeight="1" spans="2:12">
      <c r="B972" s="29"/>
      <c r="C972" s="29"/>
      <c r="L972" s="34"/>
    </row>
    <row r="973" ht="12.75" customHeight="1" spans="2:12">
      <c r="B973" s="29"/>
      <c r="C973" s="29"/>
      <c r="L973" s="34"/>
    </row>
    <row r="974" ht="12.75" customHeight="1" spans="2:12">
      <c r="B974" s="29"/>
      <c r="C974" s="29"/>
      <c r="L974" s="34"/>
    </row>
    <row r="975" ht="12.75" customHeight="1" spans="2:12">
      <c r="B975" s="29"/>
      <c r="C975" s="29"/>
      <c r="L975" s="34"/>
    </row>
    <row r="976" ht="12.75" customHeight="1" spans="2:12">
      <c r="B976" s="29"/>
      <c r="C976" s="29"/>
      <c r="L976" s="34"/>
    </row>
    <row r="977" ht="12.75" customHeight="1" spans="2:12">
      <c r="B977" s="29"/>
      <c r="C977" s="29"/>
      <c r="L977" s="34"/>
    </row>
    <row r="978" ht="12.75" customHeight="1" spans="2:12">
      <c r="B978" s="29"/>
      <c r="C978" s="29"/>
      <c r="L978" s="34"/>
    </row>
    <row r="979" ht="12.75" customHeight="1" spans="2:12">
      <c r="B979" s="29"/>
      <c r="C979" s="29"/>
      <c r="L979" s="34"/>
    </row>
    <row r="980" ht="12.75" customHeight="1" spans="2:12">
      <c r="B980" s="29"/>
      <c r="C980" s="29"/>
      <c r="L980" s="34"/>
    </row>
    <row r="981" ht="12.75" customHeight="1" spans="2:12">
      <c r="B981" s="29"/>
      <c r="C981" s="29"/>
      <c r="L981" s="34"/>
    </row>
    <row r="982" ht="12.75" customHeight="1" spans="2:12">
      <c r="B982" s="29"/>
      <c r="C982" s="29"/>
      <c r="L982" s="34"/>
    </row>
    <row r="983" ht="12.75" customHeight="1" spans="2:12">
      <c r="B983" s="29"/>
      <c r="C983" s="29"/>
      <c r="L983" s="34"/>
    </row>
    <row r="984" ht="12.75" customHeight="1" spans="2:12">
      <c r="B984" s="29"/>
      <c r="C984" s="29"/>
      <c r="L984" s="34"/>
    </row>
    <row r="985" ht="12.75" customHeight="1" spans="2:12">
      <c r="B985" s="29"/>
      <c r="C985" s="29"/>
      <c r="L985" s="34"/>
    </row>
    <row r="986" ht="12.75" customHeight="1" spans="2:12">
      <c r="B986" s="29"/>
      <c r="C986" s="29"/>
      <c r="L986" s="34"/>
    </row>
    <row r="987" ht="12.75" customHeight="1" spans="2:12">
      <c r="B987" s="29"/>
      <c r="C987" s="29"/>
      <c r="L987" s="34"/>
    </row>
    <row r="988" ht="12.75" customHeight="1" spans="2:12">
      <c r="B988" s="29"/>
      <c r="C988" s="29"/>
      <c r="L988" s="34"/>
    </row>
    <row r="989" ht="12.75" customHeight="1" spans="2:12">
      <c r="B989" s="29"/>
      <c r="C989" s="29"/>
      <c r="L989" s="34"/>
    </row>
    <row r="990" ht="12.75" customHeight="1" spans="2:12">
      <c r="B990" s="29"/>
      <c r="C990" s="29"/>
      <c r="L990" s="34"/>
    </row>
    <row r="991" ht="12.75" customHeight="1" spans="2:12">
      <c r="B991" s="29"/>
      <c r="C991" s="29"/>
      <c r="L991" s="34"/>
    </row>
    <row r="992" ht="12.75" customHeight="1" spans="2:12">
      <c r="B992" s="29"/>
      <c r="C992" s="29"/>
      <c r="L992" s="34"/>
    </row>
    <row r="993" ht="12.75" customHeight="1" spans="2:12">
      <c r="B993" s="29"/>
      <c r="C993" s="29"/>
      <c r="L993" s="34"/>
    </row>
    <row r="994" ht="12.75" customHeight="1" spans="2:12">
      <c r="B994" s="29"/>
      <c r="C994" s="29"/>
      <c r="L994" s="34"/>
    </row>
    <row r="995" ht="12.75" customHeight="1" spans="2:12">
      <c r="B995" s="29"/>
      <c r="C995" s="29"/>
      <c r="L995" s="34"/>
    </row>
    <row r="996" ht="12.75" customHeight="1" spans="2:12">
      <c r="B996" s="29"/>
      <c r="C996" s="29"/>
      <c r="L996" s="34"/>
    </row>
    <row r="997" ht="12.75" customHeight="1" spans="2:12">
      <c r="B997" s="29"/>
      <c r="C997" s="29"/>
      <c r="L997" s="34"/>
    </row>
    <row r="998" ht="12.75" customHeight="1" spans="2:12">
      <c r="B998" s="29"/>
      <c r="C998" s="29"/>
      <c r="L998" s="34"/>
    </row>
    <row r="999" ht="12.75" customHeight="1" spans="2:12">
      <c r="B999" s="29"/>
      <c r="C999" s="29"/>
      <c r="L999" s="34"/>
    </row>
    <row r="1000" ht="12.75" customHeight="1" spans="2:12">
      <c r="B1000" s="29"/>
      <c r="C1000" s="29"/>
      <c r="L1000" s="34"/>
    </row>
    <row r="1001" ht="12.75" customHeight="1" spans="2:12">
      <c r="B1001" s="29"/>
      <c r="C1001" s="29"/>
      <c r="L1001" s="34"/>
    </row>
  </sheetData>
  <mergeCells count="2">
    <mergeCell ref="A1:J1"/>
    <mergeCell ref="A2:J2"/>
  </mergeCells>
  <printOptions horizontalCentered="1"/>
  <pageMargins left="0.511811023622047" right="0.196850393700787" top="0.354330708661417" bottom="0.15748031496063" header="0" footer="0"/>
  <pageSetup paperSize="9" scale="44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0"/>
  <sheetViews>
    <sheetView workbookViewId="0">
      <selection activeCell="A1" sqref="A1"/>
    </sheetView>
  </sheetViews>
  <sheetFormatPr defaultColWidth="12.5714285714286" defaultRowHeight="15" customHeight="1"/>
  <cols>
    <col min="1" max="1" width="44.1428571428571" customWidth="1"/>
    <col min="2" max="2" width="7.42857142857143" customWidth="1"/>
    <col min="3" max="3" width="14.7142857142857" customWidth="1"/>
    <col min="4" max="4" width="45.5714285714286" customWidth="1"/>
    <col min="5" max="5" width="227.571428571429" customWidth="1"/>
    <col min="6" max="6" width="21.5714285714286" customWidth="1"/>
    <col min="7" max="7" width="15.2857142857143" customWidth="1"/>
    <col min="8" max="8" width="13.5714285714286" customWidth="1"/>
    <col min="9" max="9" width="13.4285714285714" customWidth="1"/>
    <col min="10" max="10" width="6.57142857142857" customWidth="1"/>
    <col min="11" max="11" width="9" customWidth="1"/>
    <col min="12" max="12" width="9.85714285714286" customWidth="1"/>
    <col min="13" max="13" width="14.5714285714286" customWidth="1"/>
    <col min="14" max="14" width="19.2857142857143" customWidth="1"/>
    <col min="15" max="15" width="12.8571428571429" customWidth="1"/>
    <col min="16" max="16" width="11.8571428571429" customWidth="1"/>
    <col min="17" max="17" width="13.5714285714286" customWidth="1"/>
    <col min="18" max="18" width="15.4285714285714" customWidth="1"/>
    <col min="19" max="19" width="14.4285714285714" customWidth="1"/>
    <col min="20" max="20" width="23.4285714285714" customWidth="1"/>
    <col min="21" max="21" width="9.85714285714286" customWidth="1"/>
    <col min="22" max="22" width="7.71428571428571" customWidth="1"/>
    <col min="23" max="23" width="18.1428571428571" customWidth="1"/>
    <col min="24" max="26" width="11.4285714285714" customWidth="1"/>
  </cols>
  <sheetData>
    <row r="1" ht="12.75" customHeight="1" spans="1:23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</row>
    <row r="2" ht="12.75" customHeight="1" spans="1:23">
      <c r="A2" s="1" t="s">
        <v>163</v>
      </c>
      <c r="B2" s="1">
        <v>1</v>
      </c>
      <c r="C2" s="1" t="s">
        <v>12</v>
      </c>
      <c r="D2" s="1" t="s">
        <v>39</v>
      </c>
      <c r="E2" s="1" t="s">
        <v>164</v>
      </c>
      <c r="F2" s="1">
        <v>107267</v>
      </c>
      <c r="G2" s="1" t="s">
        <v>165</v>
      </c>
      <c r="H2" s="1" t="s">
        <v>165</v>
      </c>
      <c r="I2" s="1"/>
      <c r="J2" s="1"/>
      <c r="K2" s="1" t="s">
        <v>166</v>
      </c>
      <c r="L2" s="1" t="s">
        <v>167</v>
      </c>
      <c r="M2" s="1" t="s">
        <v>168</v>
      </c>
      <c r="N2" s="1" t="s">
        <v>42</v>
      </c>
      <c r="O2" s="1" t="s">
        <v>169</v>
      </c>
      <c r="P2" s="1" t="s">
        <v>15</v>
      </c>
      <c r="Q2" s="1" t="s">
        <v>165</v>
      </c>
      <c r="R2" s="1" t="s">
        <v>170</v>
      </c>
      <c r="S2" s="1" t="s">
        <v>171</v>
      </c>
      <c r="T2" s="1"/>
      <c r="U2" s="1"/>
      <c r="V2" s="1"/>
      <c r="W2" s="1"/>
    </row>
    <row r="3" ht="12.75" customHeight="1" spans="1:23">
      <c r="A3" s="1" t="s">
        <v>172</v>
      </c>
      <c r="B3" s="1">
        <v>2</v>
      </c>
      <c r="C3" s="1" t="s">
        <v>16</v>
      </c>
      <c r="D3" s="1" t="s">
        <v>173</v>
      </c>
      <c r="E3" s="1" t="s">
        <v>17</v>
      </c>
      <c r="F3" s="1">
        <v>37667</v>
      </c>
      <c r="G3" s="1" t="s">
        <v>165</v>
      </c>
      <c r="H3" s="1" t="s">
        <v>165</v>
      </c>
      <c r="I3" s="1"/>
      <c r="J3" s="1"/>
      <c r="K3" s="1" t="s">
        <v>166</v>
      </c>
      <c r="L3" s="1" t="s">
        <v>167</v>
      </c>
      <c r="M3" s="1" t="s">
        <v>174</v>
      </c>
      <c r="N3" s="1" t="s">
        <v>21</v>
      </c>
      <c r="O3" s="1" t="s">
        <v>169</v>
      </c>
      <c r="P3" s="1" t="s">
        <v>15</v>
      </c>
      <c r="Q3" s="1" t="s">
        <v>165</v>
      </c>
      <c r="R3" s="1" t="s">
        <v>170</v>
      </c>
      <c r="S3" s="1" t="s">
        <v>171</v>
      </c>
      <c r="T3" s="1"/>
      <c r="U3" s="1"/>
      <c r="V3" s="1"/>
      <c r="W3" s="1"/>
    </row>
    <row r="4" ht="12.75" customHeight="1" spans="1:23">
      <c r="A4" s="1" t="s">
        <v>175</v>
      </c>
      <c r="B4" s="1">
        <v>3</v>
      </c>
      <c r="C4" s="1" t="s">
        <v>12</v>
      </c>
      <c r="D4" s="1" t="s">
        <v>39</v>
      </c>
      <c r="E4" s="1" t="s">
        <v>20</v>
      </c>
      <c r="F4" s="1">
        <v>97900</v>
      </c>
      <c r="G4" s="1" t="s">
        <v>165</v>
      </c>
      <c r="H4" s="1" t="s">
        <v>165</v>
      </c>
      <c r="I4" s="1"/>
      <c r="J4" s="1"/>
      <c r="K4" s="1" t="s">
        <v>166</v>
      </c>
      <c r="L4" s="1" t="s">
        <v>167</v>
      </c>
      <c r="M4" s="1" t="s">
        <v>174</v>
      </c>
      <c r="N4" s="1" t="s">
        <v>21</v>
      </c>
      <c r="O4" s="1" t="s">
        <v>169</v>
      </c>
      <c r="P4" s="1" t="s">
        <v>15</v>
      </c>
      <c r="Q4" s="1" t="s">
        <v>165</v>
      </c>
      <c r="R4" s="1" t="s">
        <v>170</v>
      </c>
      <c r="S4" s="1" t="s">
        <v>171</v>
      </c>
      <c r="T4" s="1"/>
      <c r="U4" s="1"/>
      <c r="V4" s="1"/>
      <c r="W4" s="1"/>
    </row>
    <row r="5" ht="12.75" customHeight="1" spans="1:23">
      <c r="A5" s="1" t="s">
        <v>176</v>
      </c>
      <c r="B5" s="1">
        <v>4</v>
      </c>
      <c r="C5" s="1" t="s">
        <v>16</v>
      </c>
      <c r="D5" s="1" t="s">
        <v>173</v>
      </c>
      <c r="E5" s="1" t="s">
        <v>22</v>
      </c>
      <c r="F5" s="1">
        <v>44367</v>
      </c>
      <c r="G5" s="1" t="s">
        <v>165</v>
      </c>
      <c r="H5" s="1" t="s">
        <v>165</v>
      </c>
      <c r="I5" s="1"/>
      <c r="J5" s="1"/>
      <c r="K5" s="1" t="s">
        <v>166</v>
      </c>
      <c r="L5" s="1" t="s">
        <v>167</v>
      </c>
      <c r="M5" s="1" t="s">
        <v>174</v>
      </c>
      <c r="N5" s="1" t="s">
        <v>21</v>
      </c>
      <c r="O5" s="1" t="s">
        <v>169</v>
      </c>
      <c r="P5" s="1" t="s">
        <v>15</v>
      </c>
      <c r="Q5" s="1" t="s">
        <v>165</v>
      </c>
      <c r="R5" s="1" t="s">
        <v>170</v>
      </c>
      <c r="S5" s="1" t="s">
        <v>171</v>
      </c>
      <c r="T5" s="1"/>
      <c r="U5" s="1"/>
      <c r="V5" s="1"/>
      <c r="W5" s="1"/>
    </row>
    <row r="6" ht="12.75" customHeight="1" spans="1:23">
      <c r="A6" s="1" t="s">
        <v>177</v>
      </c>
      <c r="B6" s="1">
        <v>5</v>
      </c>
      <c r="C6" s="1" t="s">
        <v>12</v>
      </c>
      <c r="D6" s="1" t="s">
        <v>39</v>
      </c>
      <c r="E6" s="1" t="s">
        <v>23</v>
      </c>
      <c r="F6" s="1">
        <v>121667</v>
      </c>
      <c r="G6" s="1" t="s">
        <v>165</v>
      </c>
      <c r="H6" s="1" t="s">
        <v>165</v>
      </c>
      <c r="I6" s="1"/>
      <c r="J6" s="1"/>
      <c r="K6" s="1" t="s">
        <v>166</v>
      </c>
      <c r="L6" s="1" t="s">
        <v>167</v>
      </c>
      <c r="M6" s="1" t="s">
        <v>174</v>
      </c>
      <c r="N6" s="1" t="s">
        <v>21</v>
      </c>
      <c r="O6" s="1" t="s">
        <v>169</v>
      </c>
      <c r="P6" s="1" t="s">
        <v>15</v>
      </c>
      <c r="Q6" s="1" t="s">
        <v>165</v>
      </c>
      <c r="R6" s="1" t="s">
        <v>170</v>
      </c>
      <c r="S6" s="1" t="s">
        <v>171</v>
      </c>
      <c r="T6" s="1"/>
      <c r="U6" s="1"/>
      <c r="V6" s="1"/>
      <c r="W6" s="1"/>
    </row>
    <row r="7" ht="12.75" customHeight="1" spans="1:23">
      <c r="A7" s="1" t="s">
        <v>178</v>
      </c>
      <c r="B7" s="1">
        <v>6</v>
      </c>
      <c r="C7" s="1" t="s">
        <v>16</v>
      </c>
      <c r="D7" s="1" t="s">
        <v>173</v>
      </c>
      <c r="E7" s="1" t="s">
        <v>17</v>
      </c>
      <c r="F7" s="1">
        <v>43667</v>
      </c>
      <c r="G7" s="1" t="s">
        <v>165</v>
      </c>
      <c r="H7" s="1" t="s">
        <v>165</v>
      </c>
      <c r="I7" s="1"/>
      <c r="J7" s="1"/>
      <c r="K7" s="1" t="s">
        <v>166</v>
      </c>
      <c r="L7" s="1" t="s">
        <v>167</v>
      </c>
      <c r="M7" s="1" t="s">
        <v>174</v>
      </c>
      <c r="N7" s="1" t="s">
        <v>21</v>
      </c>
      <c r="O7" s="1" t="s">
        <v>169</v>
      </c>
      <c r="P7" s="1" t="s">
        <v>15</v>
      </c>
      <c r="Q7" s="1" t="s">
        <v>165</v>
      </c>
      <c r="R7" s="1" t="s">
        <v>170</v>
      </c>
      <c r="S7" s="1" t="s">
        <v>171</v>
      </c>
      <c r="T7" s="1"/>
      <c r="U7" s="1"/>
      <c r="V7" s="1"/>
      <c r="W7" s="1"/>
    </row>
    <row r="8" ht="12.75" customHeight="1" spans="1:23">
      <c r="A8" s="1" t="s">
        <v>179</v>
      </c>
      <c r="B8" s="1">
        <v>7</v>
      </c>
      <c r="C8" s="1" t="s">
        <v>12</v>
      </c>
      <c r="D8" s="1" t="s">
        <v>39</v>
      </c>
      <c r="E8" s="1" t="s">
        <v>24</v>
      </c>
      <c r="F8" s="1">
        <v>525000</v>
      </c>
      <c r="G8" s="1" t="s">
        <v>165</v>
      </c>
      <c r="H8" s="1" t="s">
        <v>165</v>
      </c>
      <c r="I8" s="1"/>
      <c r="J8" s="1"/>
      <c r="K8" s="1" t="s">
        <v>166</v>
      </c>
      <c r="L8" s="1" t="s">
        <v>167</v>
      </c>
      <c r="M8" s="1" t="s">
        <v>174</v>
      </c>
      <c r="N8" s="1" t="s">
        <v>21</v>
      </c>
      <c r="O8" s="1" t="s">
        <v>169</v>
      </c>
      <c r="P8" s="1" t="s">
        <v>15</v>
      </c>
      <c r="Q8" s="1" t="s">
        <v>165</v>
      </c>
      <c r="R8" s="1" t="s">
        <v>170</v>
      </c>
      <c r="S8" s="1" t="s">
        <v>171</v>
      </c>
      <c r="T8" s="1"/>
      <c r="U8" s="1"/>
      <c r="V8" s="1"/>
      <c r="W8" s="1"/>
    </row>
    <row r="9" ht="12.75" customHeight="1" spans="1:23">
      <c r="A9" s="1" t="s">
        <v>180</v>
      </c>
      <c r="B9" s="1">
        <v>8</v>
      </c>
      <c r="C9" s="1" t="s">
        <v>16</v>
      </c>
      <c r="D9" s="1" t="s">
        <v>173</v>
      </c>
      <c r="E9" s="1" t="s">
        <v>17</v>
      </c>
      <c r="F9" s="1">
        <v>115333</v>
      </c>
      <c r="G9" s="1" t="s">
        <v>165</v>
      </c>
      <c r="H9" s="1" t="s">
        <v>165</v>
      </c>
      <c r="I9" s="1"/>
      <c r="J9" s="1"/>
      <c r="K9" s="1" t="s">
        <v>166</v>
      </c>
      <c r="L9" s="1" t="s">
        <v>167</v>
      </c>
      <c r="M9" s="1" t="s">
        <v>174</v>
      </c>
      <c r="N9" s="1" t="s">
        <v>21</v>
      </c>
      <c r="O9" s="1" t="s">
        <v>169</v>
      </c>
      <c r="P9" s="1" t="s">
        <v>15</v>
      </c>
      <c r="Q9" s="1" t="s">
        <v>165</v>
      </c>
      <c r="R9" s="1" t="s">
        <v>170</v>
      </c>
      <c r="S9" s="1" t="s">
        <v>171</v>
      </c>
      <c r="T9" s="1"/>
      <c r="U9" s="1"/>
      <c r="V9" s="1"/>
      <c r="W9" s="1"/>
    </row>
    <row r="10" ht="12.75" customHeight="1" spans="1:23">
      <c r="A10" s="1" t="s">
        <v>181</v>
      </c>
      <c r="B10" s="1">
        <v>9</v>
      </c>
      <c r="C10" s="1" t="s">
        <v>12</v>
      </c>
      <c r="D10" s="1" t="s">
        <v>39</v>
      </c>
      <c r="E10" s="1" t="s">
        <v>25</v>
      </c>
      <c r="F10" s="1">
        <v>133600</v>
      </c>
      <c r="G10" s="1" t="s">
        <v>165</v>
      </c>
      <c r="H10" s="1" t="s">
        <v>165</v>
      </c>
      <c r="I10" s="1"/>
      <c r="J10" s="1"/>
      <c r="K10" s="1" t="s">
        <v>166</v>
      </c>
      <c r="L10" s="1" t="s">
        <v>167</v>
      </c>
      <c r="M10" s="1" t="s">
        <v>174</v>
      </c>
      <c r="N10" s="1" t="s">
        <v>21</v>
      </c>
      <c r="O10" s="1" t="s">
        <v>169</v>
      </c>
      <c r="P10" s="1" t="s">
        <v>15</v>
      </c>
      <c r="Q10" s="1" t="s">
        <v>165</v>
      </c>
      <c r="R10" s="1" t="s">
        <v>170</v>
      </c>
      <c r="S10" s="1" t="s">
        <v>171</v>
      </c>
      <c r="T10" s="1"/>
      <c r="U10" s="1"/>
      <c r="V10" s="1"/>
      <c r="W10" s="1"/>
    </row>
    <row r="11" ht="12.75" customHeight="1" spans="1:23">
      <c r="A11" s="1" t="s">
        <v>182</v>
      </c>
      <c r="B11" s="1">
        <v>10</v>
      </c>
      <c r="C11" s="1" t="s">
        <v>16</v>
      </c>
      <c r="D11" s="1" t="s">
        <v>173</v>
      </c>
      <c r="E11" s="1" t="s">
        <v>22</v>
      </c>
      <c r="F11" s="1">
        <v>72433</v>
      </c>
      <c r="G11" s="1" t="s">
        <v>165</v>
      </c>
      <c r="H11" s="1" t="s">
        <v>165</v>
      </c>
      <c r="I11" s="1"/>
      <c r="J11" s="1"/>
      <c r="K11" s="1" t="s">
        <v>166</v>
      </c>
      <c r="L11" s="1" t="s">
        <v>167</v>
      </c>
      <c r="M11" s="1" t="s">
        <v>174</v>
      </c>
      <c r="N11" s="1" t="s">
        <v>21</v>
      </c>
      <c r="O11" s="1" t="s">
        <v>169</v>
      </c>
      <c r="P11" s="1" t="s">
        <v>15</v>
      </c>
      <c r="Q11" s="1" t="s">
        <v>165</v>
      </c>
      <c r="R11" s="1" t="s">
        <v>170</v>
      </c>
      <c r="S11" s="1" t="s">
        <v>171</v>
      </c>
      <c r="T11" s="1"/>
      <c r="U11" s="1"/>
      <c r="V11" s="1"/>
      <c r="W11" s="1"/>
    </row>
    <row r="12" ht="12.75" customHeight="1" spans="1:23">
      <c r="A12" s="1" t="s">
        <v>183</v>
      </c>
      <c r="B12" s="1">
        <v>11</v>
      </c>
      <c r="C12" s="1" t="s">
        <v>12</v>
      </c>
      <c r="D12" s="1" t="s">
        <v>39</v>
      </c>
      <c r="E12" s="1" t="s">
        <v>26</v>
      </c>
      <c r="F12" s="1">
        <v>67167</v>
      </c>
      <c r="G12" s="1" t="s">
        <v>165</v>
      </c>
      <c r="H12" s="1" t="s">
        <v>165</v>
      </c>
      <c r="I12" s="1"/>
      <c r="J12" s="1"/>
      <c r="K12" s="1" t="s">
        <v>166</v>
      </c>
      <c r="L12" s="1" t="s">
        <v>167</v>
      </c>
      <c r="M12" s="1" t="s">
        <v>174</v>
      </c>
      <c r="N12" s="1" t="s">
        <v>21</v>
      </c>
      <c r="O12" s="1" t="s">
        <v>169</v>
      </c>
      <c r="P12" s="1" t="s">
        <v>15</v>
      </c>
      <c r="Q12" s="1" t="s">
        <v>165</v>
      </c>
      <c r="R12" s="1" t="s">
        <v>170</v>
      </c>
      <c r="S12" s="1" t="s">
        <v>171</v>
      </c>
      <c r="T12" s="1"/>
      <c r="U12" s="1"/>
      <c r="V12" s="1"/>
      <c r="W12" s="1"/>
    </row>
    <row r="13" ht="12.75" customHeight="1" spans="1:23">
      <c r="A13" s="1" t="s">
        <v>184</v>
      </c>
      <c r="B13" s="1">
        <v>12</v>
      </c>
      <c r="C13" s="1" t="s">
        <v>16</v>
      </c>
      <c r="D13" s="1" t="s">
        <v>173</v>
      </c>
      <c r="E13" s="1" t="s">
        <v>17</v>
      </c>
      <c r="F13" s="1">
        <v>34267</v>
      </c>
      <c r="G13" s="1" t="s">
        <v>165</v>
      </c>
      <c r="H13" s="1" t="s">
        <v>165</v>
      </c>
      <c r="I13" s="1"/>
      <c r="J13" s="1"/>
      <c r="K13" s="1" t="s">
        <v>166</v>
      </c>
      <c r="L13" s="1" t="s">
        <v>167</v>
      </c>
      <c r="M13" s="1" t="s">
        <v>174</v>
      </c>
      <c r="N13" s="1" t="s">
        <v>21</v>
      </c>
      <c r="O13" s="1" t="s">
        <v>169</v>
      </c>
      <c r="P13" s="1" t="s">
        <v>15</v>
      </c>
      <c r="Q13" s="1" t="s">
        <v>165</v>
      </c>
      <c r="R13" s="1" t="s">
        <v>170</v>
      </c>
      <c r="S13" s="1" t="s">
        <v>171</v>
      </c>
      <c r="T13" s="1"/>
      <c r="U13" s="1"/>
      <c r="V13" s="1"/>
      <c r="W13" s="1"/>
    </row>
    <row r="14" ht="12.75" customHeight="1" spans="1:23">
      <c r="A14" s="1" t="s">
        <v>185</v>
      </c>
      <c r="B14" s="1">
        <v>13</v>
      </c>
      <c r="C14" s="1" t="s">
        <v>12</v>
      </c>
      <c r="D14" s="1" t="s">
        <v>39</v>
      </c>
      <c r="E14" s="1" t="s">
        <v>27</v>
      </c>
      <c r="F14" s="1">
        <v>80667</v>
      </c>
      <c r="G14" s="1" t="s">
        <v>165</v>
      </c>
      <c r="H14" s="1" t="s">
        <v>165</v>
      </c>
      <c r="I14" s="1"/>
      <c r="J14" s="1"/>
      <c r="K14" s="1" t="s">
        <v>166</v>
      </c>
      <c r="L14" s="1" t="s">
        <v>167</v>
      </c>
      <c r="M14" s="1" t="s">
        <v>174</v>
      </c>
      <c r="N14" s="1" t="s">
        <v>21</v>
      </c>
      <c r="O14" s="1" t="s">
        <v>169</v>
      </c>
      <c r="P14" s="1" t="s">
        <v>15</v>
      </c>
      <c r="Q14" s="1" t="s">
        <v>165</v>
      </c>
      <c r="R14" s="1" t="s">
        <v>170</v>
      </c>
      <c r="S14" s="1" t="s">
        <v>171</v>
      </c>
      <c r="T14" s="1"/>
      <c r="U14" s="1"/>
      <c r="V14" s="1"/>
      <c r="W14" s="1"/>
    </row>
    <row r="15" ht="12.75" customHeight="1" spans="1:23">
      <c r="A15" s="1" t="s">
        <v>186</v>
      </c>
      <c r="B15" s="1">
        <v>14</v>
      </c>
      <c r="C15" s="1" t="s">
        <v>16</v>
      </c>
      <c r="D15" s="1" t="s">
        <v>173</v>
      </c>
      <c r="E15" s="1" t="s">
        <v>17</v>
      </c>
      <c r="F15" s="1">
        <v>45533</v>
      </c>
      <c r="G15" s="1" t="s">
        <v>165</v>
      </c>
      <c r="H15" s="1" t="s">
        <v>165</v>
      </c>
      <c r="I15" s="1"/>
      <c r="J15" s="1"/>
      <c r="K15" s="1" t="s">
        <v>166</v>
      </c>
      <c r="L15" s="1" t="s">
        <v>167</v>
      </c>
      <c r="M15" s="1" t="s">
        <v>174</v>
      </c>
      <c r="N15" s="1" t="s">
        <v>21</v>
      </c>
      <c r="O15" s="1" t="s">
        <v>169</v>
      </c>
      <c r="P15" s="1" t="s">
        <v>15</v>
      </c>
      <c r="Q15" s="1" t="s">
        <v>165</v>
      </c>
      <c r="R15" s="1" t="s">
        <v>170</v>
      </c>
      <c r="S15" s="1" t="s">
        <v>171</v>
      </c>
      <c r="T15" s="1"/>
      <c r="U15" s="1"/>
      <c r="V15" s="1"/>
      <c r="W15" s="1"/>
    </row>
    <row r="16" ht="12.75" customHeight="1" spans="1:23">
      <c r="A16" s="1" t="s">
        <v>187</v>
      </c>
      <c r="B16" s="1">
        <v>15</v>
      </c>
      <c r="C16" s="1" t="s">
        <v>12</v>
      </c>
      <c r="D16" s="1" t="s">
        <v>39</v>
      </c>
      <c r="E16" s="1" t="s">
        <v>28</v>
      </c>
      <c r="F16" s="1">
        <v>77467</v>
      </c>
      <c r="G16" s="1" t="s">
        <v>165</v>
      </c>
      <c r="H16" s="1" t="s">
        <v>165</v>
      </c>
      <c r="I16" s="1"/>
      <c r="J16" s="1"/>
      <c r="K16" s="1" t="s">
        <v>166</v>
      </c>
      <c r="L16" s="1" t="s">
        <v>167</v>
      </c>
      <c r="M16" s="1" t="s">
        <v>174</v>
      </c>
      <c r="N16" s="1" t="s">
        <v>21</v>
      </c>
      <c r="O16" s="1" t="s">
        <v>169</v>
      </c>
      <c r="P16" s="1" t="s">
        <v>15</v>
      </c>
      <c r="Q16" s="1" t="s">
        <v>165</v>
      </c>
      <c r="R16" s="1" t="s">
        <v>170</v>
      </c>
      <c r="S16" s="1" t="s">
        <v>171</v>
      </c>
      <c r="T16" s="1"/>
      <c r="U16" s="1"/>
      <c r="V16" s="1"/>
      <c r="W16" s="1"/>
    </row>
    <row r="17" ht="12.75" customHeight="1" spans="1:23">
      <c r="A17" s="1" t="s">
        <v>188</v>
      </c>
      <c r="B17" s="1">
        <v>16</v>
      </c>
      <c r="C17" s="1" t="s">
        <v>16</v>
      </c>
      <c r="D17" s="1" t="s">
        <v>173</v>
      </c>
      <c r="E17" s="1" t="s">
        <v>17</v>
      </c>
      <c r="F17" s="1">
        <v>28800</v>
      </c>
      <c r="G17" s="1" t="s">
        <v>165</v>
      </c>
      <c r="H17" s="1" t="s">
        <v>165</v>
      </c>
      <c r="I17" s="1"/>
      <c r="J17" s="1"/>
      <c r="K17" s="1" t="s">
        <v>166</v>
      </c>
      <c r="L17" s="1" t="s">
        <v>167</v>
      </c>
      <c r="M17" s="1" t="s">
        <v>174</v>
      </c>
      <c r="N17" s="1" t="s">
        <v>21</v>
      </c>
      <c r="O17" s="1" t="s">
        <v>169</v>
      </c>
      <c r="P17" s="1" t="s">
        <v>15</v>
      </c>
      <c r="Q17" s="1" t="s">
        <v>165</v>
      </c>
      <c r="R17" s="1" t="s">
        <v>170</v>
      </c>
      <c r="S17" s="1" t="s">
        <v>171</v>
      </c>
      <c r="T17" s="1"/>
      <c r="U17" s="1"/>
      <c r="V17" s="1"/>
      <c r="W17" s="1"/>
    </row>
    <row r="18" ht="12.75" customHeight="1" spans="1:23">
      <c r="A18" s="1" t="s">
        <v>189</v>
      </c>
      <c r="B18" s="1">
        <v>17</v>
      </c>
      <c r="C18" s="1" t="s">
        <v>12</v>
      </c>
      <c r="D18" s="1" t="s">
        <v>39</v>
      </c>
      <c r="E18" s="1" t="s">
        <v>29</v>
      </c>
      <c r="F18" s="1">
        <v>70267</v>
      </c>
      <c r="G18" s="1" t="s">
        <v>165</v>
      </c>
      <c r="H18" s="1" t="s">
        <v>165</v>
      </c>
      <c r="I18" s="1"/>
      <c r="J18" s="1"/>
      <c r="K18" s="1" t="s">
        <v>166</v>
      </c>
      <c r="L18" s="1" t="s">
        <v>167</v>
      </c>
      <c r="M18" s="1" t="s">
        <v>174</v>
      </c>
      <c r="N18" s="1" t="s">
        <v>21</v>
      </c>
      <c r="O18" s="1" t="s">
        <v>169</v>
      </c>
      <c r="P18" s="1" t="s">
        <v>15</v>
      </c>
      <c r="Q18" s="1" t="s">
        <v>165</v>
      </c>
      <c r="R18" s="1" t="s">
        <v>170</v>
      </c>
      <c r="S18" s="1" t="s">
        <v>171</v>
      </c>
      <c r="T18" s="1"/>
      <c r="U18" s="1"/>
      <c r="V18" s="1"/>
      <c r="W18" s="1"/>
    </row>
    <row r="19" ht="12.75" customHeight="1" spans="1:23">
      <c r="A19" s="1" t="s">
        <v>190</v>
      </c>
      <c r="B19" s="1">
        <v>18</v>
      </c>
      <c r="C19" s="1" t="s">
        <v>16</v>
      </c>
      <c r="D19" s="1" t="s">
        <v>173</v>
      </c>
      <c r="E19" s="1" t="s">
        <v>22</v>
      </c>
      <c r="F19" s="1">
        <v>29067</v>
      </c>
      <c r="G19" s="1" t="s">
        <v>165</v>
      </c>
      <c r="H19" s="1" t="s">
        <v>165</v>
      </c>
      <c r="I19" s="1"/>
      <c r="J19" s="1"/>
      <c r="K19" s="1" t="s">
        <v>166</v>
      </c>
      <c r="L19" s="1" t="s">
        <v>167</v>
      </c>
      <c r="M19" s="1" t="s">
        <v>174</v>
      </c>
      <c r="N19" s="1" t="s">
        <v>21</v>
      </c>
      <c r="O19" s="1" t="s">
        <v>169</v>
      </c>
      <c r="P19" s="1" t="s">
        <v>15</v>
      </c>
      <c r="Q19" s="1" t="s">
        <v>165</v>
      </c>
      <c r="R19" s="1" t="s">
        <v>170</v>
      </c>
      <c r="S19" s="1" t="s">
        <v>171</v>
      </c>
      <c r="T19" s="1"/>
      <c r="U19" s="1"/>
      <c r="V19" s="1"/>
      <c r="W19" s="1"/>
    </row>
    <row r="20" ht="12.75" customHeight="1" spans="1:23">
      <c r="A20" s="1" t="s">
        <v>191</v>
      </c>
      <c r="B20" s="1">
        <v>19</v>
      </c>
      <c r="C20" s="1" t="s">
        <v>12</v>
      </c>
      <c r="D20" s="1" t="s">
        <v>39</v>
      </c>
      <c r="E20" s="1" t="s">
        <v>30</v>
      </c>
      <c r="F20" s="1">
        <v>70133</v>
      </c>
      <c r="G20" s="1" t="s">
        <v>165</v>
      </c>
      <c r="H20" s="1" t="s">
        <v>165</v>
      </c>
      <c r="I20" s="1"/>
      <c r="J20" s="1"/>
      <c r="K20" s="1" t="s">
        <v>166</v>
      </c>
      <c r="L20" s="1" t="s">
        <v>167</v>
      </c>
      <c r="M20" s="1" t="s">
        <v>174</v>
      </c>
      <c r="N20" s="1" t="s">
        <v>21</v>
      </c>
      <c r="O20" s="1" t="s">
        <v>169</v>
      </c>
      <c r="P20" s="1" t="s">
        <v>15</v>
      </c>
      <c r="Q20" s="1" t="s">
        <v>165</v>
      </c>
      <c r="R20" s="1" t="s">
        <v>170</v>
      </c>
      <c r="S20" s="1" t="s">
        <v>171</v>
      </c>
      <c r="T20" s="1"/>
      <c r="U20" s="1"/>
      <c r="V20" s="1"/>
      <c r="W20" s="1"/>
    </row>
    <row r="21" ht="12.75" customHeight="1" spans="1:23">
      <c r="A21" s="1" t="s">
        <v>192</v>
      </c>
      <c r="B21" s="1">
        <v>20</v>
      </c>
      <c r="C21" s="1" t="s">
        <v>16</v>
      </c>
      <c r="D21" s="1" t="s">
        <v>173</v>
      </c>
      <c r="E21" s="1" t="s">
        <v>22</v>
      </c>
      <c r="F21" s="1">
        <v>28933</v>
      </c>
      <c r="G21" s="1" t="s">
        <v>165</v>
      </c>
      <c r="H21" s="1" t="s">
        <v>165</v>
      </c>
      <c r="I21" s="1"/>
      <c r="J21" s="1"/>
      <c r="K21" s="1" t="s">
        <v>166</v>
      </c>
      <c r="L21" s="1" t="s">
        <v>167</v>
      </c>
      <c r="M21" s="1" t="s">
        <v>174</v>
      </c>
      <c r="N21" s="1" t="s">
        <v>21</v>
      </c>
      <c r="O21" s="1" t="s">
        <v>169</v>
      </c>
      <c r="P21" s="1" t="s">
        <v>15</v>
      </c>
      <c r="Q21" s="1" t="s">
        <v>165</v>
      </c>
      <c r="R21" s="1" t="s">
        <v>170</v>
      </c>
      <c r="S21" s="1" t="s">
        <v>171</v>
      </c>
      <c r="T21" s="1"/>
      <c r="U21" s="1"/>
      <c r="V21" s="1"/>
      <c r="W21" s="1"/>
    </row>
    <row r="22" ht="12.75" customHeight="1" spans="1:23">
      <c r="A22" s="1" t="s">
        <v>193</v>
      </c>
      <c r="B22" s="1">
        <v>21</v>
      </c>
      <c r="C22" s="1" t="s">
        <v>12</v>
      </c>
      <c r="D22" s="1" t="s">
        <v>39</v>
      </c>
      <c r="E22" s="1" t="s">
        <v>31</v>
      </c>
      <c r="F22" s="1">
        <v>56767</v>
      </c>
      <c r="G22" s="1" t="s">
        <v>165</v>
      </c>
      <c r="H22" s="1" t="s">
        <v>165</v>
      </c>
      <c r="I22" s="1"/>
      <c r="J22" s="1"/>
      <c r="K22" s="1" t="s">
        <v>166</v>
      </c>
      <c r="L22" s="1" t="s">
        <v>167</v>
      </c>
      <c r="M22" s="1" t="s">
        <v>174</v>
      </c>
      <c r="N22" s="1" t="s">
        <v>21</v>
      </c>
      <c r="O22" s="1" t="s">
        <v>169</v>
      </c>
      <c r="P22" s="1" t="s">
        <v>15</v>
      </c>
      <c r="Q22" s="1" t="s">
        <v>165</v>
      </c>
      <c r="R22" s="1" t="s">
        <v>170</v>
      </c>
      <c r="S22" s="1" t="s">
        <v>171</v>
      </c>
      <c r="T22" s="1"/>
      <c r="U22" s="1"/>
      <c r="V22" s="1"/>
      <c r="W22" s="1"/>
    </row>
    <row r="23" ht="12.75" customHeight="1" spans="1:23">
      <c r="A23" s="1" t="s">
        <v>194</v>
      </c>
      <c r="B23" s="1">
        <v>22</v>
      </c>
      <c r="C23" s="1" t="s">
        <v>16</v>
      </c>
      <c r="D23" s="1" t="s">
        <v>173</v>
      </c>
      <c r="E23" s="1" t="s">
        <v>17</v>
      </c>
      <c r="F23" s="1">
        <v>21900</v>
      </c>
      <c r="G23" s="1" t="s">
        <v>165</v>
      </c>
      <c r="H23" s="1" t="s">
        <v>165</v>
      </c>
      <c r="I23" s="1"/>
      <c r="J23" s="1"/>
      <c r="K23" s="1" t="s">
        <v>166</v>
      </c>
      <c r="L23" s="1" t="s">
        <v>167</v>
      </c>
      <c r="M23" s="1" t="s">
        <v>174</v>
      </c>
      <c r="N23" s="1" t="s">
        <v>21</v>
      </c>
      <c r="O23" s="1" t="s">
        <v>169</v>
      </c>
      <c r="P23" s="1" t="s">
        <v>15</v>
      </c>
      <c r="Q23" s="1" t="s">
        <v>165</v>
      </c>
      <c r="R23" s="1" t="s">
        <v>170</v>
      </c>
      <c r="S23" s="1" t="s">
        <v>171</v>
      </c>
      <c r="T23" s="1"/>
      <c r="U23" s="1"/>
      <c r="V23" s="1"/>
      <c r="W23" s="1"/>
    </row>
    <row r="24" ht="12.75" customHeight="1" spans="1:23">
      <c r="A24" s="1" t="s">
        <v>195</v>
      </c>
      <c r="B24" s="1">
        <v>23</v>
      </c>
      <c r="C24" s="1" t="s">
        <v>12</v>
      </c>
      <c r="D24" s="1" t="s">
        <v>39</v>
      </c>
      <c r="E24" s="1" t="s">
        <v>32</v>
      </c>
      <c r="F24" s="1">
        <v>81900</v>
      </c>
      <c r="G24" s="1" t="s">
        <v>165</v>
      </c>
      <c r="H24" s="1" t="s">
        <v>165</v>
      </c>
      <c r="I24" s="1"/>
      <c r="J24" s="1"/>
      <c r="K24" s="1" t="s">
        <v>166</v>
      </c>
      <c r="L24" s="1" t="s">
        <v>167</v>
      </c>
      <c r="M24" s="1" t="s">
        <v>174</v>
      </c>
      <c r="N24" s="1" t="s">
        <v>21</v>
      </c>
      <c r="O24" s="1" t="s">
        <v>169</v>
      </c>
      <c r="P24" s="1" t="s">
        <v>15</v>
      </c>
      <c r="Q24" s="1" t="s">
        <v>165</v>
      </c>
      <c r="R24" s="1" t="s">
        <v>170</v>
      </c>
      <c r="S24" s="1" t="s">
        <v>171</v>
      </c>
      <c r="T24" s="1"/>
      <c r="U24" s="1"/>
      <c r="V24" s="1"/>
      <c r="W24" s="1"/>
    </row>
    <row r="25" ht="12.75" customHeight="1" spans="1:23">
      <c r="A25" s="1" t="s">
        <v>196</v>
      </c>
      <c r="B25" s="1">
        <v>24</v>
      </c>
      <c r="C25" s="1" t="s">
        <v>16</v>
      </c>
      <c r="D25" s="1" t="s">
        <v>173</v>
      </c>
      <c r="E25" s="1" t="s">
        <v>17</v>
      </c>
      <c r="F25" s="1">
        <v>47233</v>
      </c>
      <c r="G25" s="1" t="s">
        <v>165</v>
      </c>
      <c r="H25" s="1" t="s">
        <v>165</v>
      </c>
      <c r="I25" s="1"/>
      <c r="J25" s="1"/>
      <c r="K25" s="1" t="s">
        <v>166</v>
      </c>
      <c r="L25" s="1" t="s">
        <v>167</v>
      </c>
      <c r="M25" s="1" t="s">
        <v>174</v>
      </c>
      <c r="N25" s="1" t="s">
        <v>21</v>
      </c>
      <c r="O25" s="1" t="s">
        <v>169</v>
      </c>
      <c r="P25" s="1" t="s">
        <v>15</v>
      </c>
      <c r="Q25" s="1" t="s">
        <v>165</v>
      </c>
      <c r="R25" s="1" t="s">
        <v>170</v>
      </c>
      <c r="S25" s="1" t="s">
        <v>171</v>
      </c>
      <c r="T25" s="1"/>
      <c r="U25" s="1"/>
      <c r="V25" s="1"/>
      <c r="W25" s="1"/>
    </row>
    <row r="26" ht="12.75" customHeight="1" spans="1:23">
      <c r="A26" s="1" t="s">
        <v>197</v>
      </c>
      <c r="B26" s="1">
        <v>25</v>
      </c>
      <c r="C26" s="1" t="s">
        <v>12</v>
      </c>
      <c r="D26" s="1" t="s">
        <v>39</v>
      </c>
      <c r="E26" s="1" t="s">
        <v>33</v>
      </c>
      <c r="F26" s="1">
        <v>67933</v>
      </c>
      <c r="G26" s="1" t="s">
        <v>165</v>
      </c>
      <c r="H26" s="1" t="s">
        <v>165</v>
      </c>
      <c r="I26" s="1"/>
      <c r="J26" s="1"/>
      <c r="K26" s="1" t="s">
        <v>166</v>
      </c>
      <c r="L26" s="1" t="s">
        <v>167</v>
      </c>
      <c r="M26" s="1" t="s">
        <v>174</v>
      </c>
      <c r="N26" s="1" t="s">
        <v>21</v>
      </c>
      <c r="O26" s="1" t="s">
        <v>169</v>
      </c>
      <c r="P26" s="1" t="s">
        <v>15</v>
      </c>
      <c r="Q26" s="1" t="s">
        <v>165</v>
      </c>
      <c r="R26" s="1" t="s">
        <v>170</v>
      </c>
      <c r="S26" s="1" t="s">
        <v>171</v>
      </c>
      <c r="T26" s="1"/>
      <c r="U26" s="1"/>
      <c r="V26" s="1"/>
      <c r="W26" s="1"/>
    </row>
    <row r="27" ht="12.75" customHeight="1" spans="1:23">
      <c r="A27" s="1" t="s">
        <v>198</v>
      </c>
      <c r="B27" s="1">
        <v>26</v>
      </c>
      <c r="C27" s="1" t="s">
        <v>16</v>
      </c>
      <c r="D27" s="1" t="s">
        <v>173</v>
      </c>
      <c r="E27" s="1" t="s">
        <v>17</v>
      </c>
      <c r="F27" s="1">
        <v>28100</v>
      </c>
      <c r="G27" s="1" t="s">
        <v>165</v>
      </c>
      <c r="H27" s="1" t="s">
        <v>165</v>
      </c>
      <c r="I27" s="1"/>
      <c r="J27" s="1"/>
      <c r="K27" s="1" t="s">
        <v>166</v>
      </c>
      <c r="L27" s="1" t="s">
        <v>167</v>
      </c>
      <c r="M27" s="1" t="s">
        <v>174</v>
      </c>
      <c r="N27" s="1" t="s">
        <v>21</v>
      </c>
      <c r="O27" s="1" t="s">
        <v>169</v>
      </c>
      <c r="P27" s="1" t="s">
        <v>15</v>
      </c>
      <c r="Q27" s="1" t="s">
        <v>165</v>
      </c>
      <c r="R27" s="1" t="s">
        <v>170</v>
      </c>
      <c r="S27" s="1" t="s">
        <v>171</v>
      </c>
      <c r="T27" s="1"/>
      <c r="U27" s="1"/>
      <c r="V27" s="1"/>
      <c r="W27" s="1"/>
    </row>
    <row r="28" ht="12.75" customHeight="1" spans="1:23">
      <c r="A28" s="1" t="s">
        <v>199</v>
      </c>
      <c r="B28" s="1">
        <v>27</v>
      </c>
      <c r="C28" s="1" t="s">
        <v>12</v>
      </c>
      <c r="D28" s="1" t="s">
        <v>39</v>
      </c>
      <c r="E28" s="1" t="s">
        <v>34</v>
      </c>
      <c r="F28" s="1">
        <v>56400</v>
      </c>
      <c r="G28" s="1" t="s">
        <v>165</v>
      </c>
      <c r="H28" s="1" t="s">
        <v>165</v>
      </c>
      <c r="I28" s="1"/>
      <c r="J28" s="1"/>
      <c r="K28" s="1" t="s">
        <v>166</v>
      </c>
      <c r="L28" s="1" t="s">
        <v>167</v>
      </c>
      <c r="M28" s="1" t="s">
        <v>174</v>
      </c>
      <c r="N28" s="1" t="s">
        <v>21</v>
      </c>
      <c r="O28" s="1" t="s">
        <v>169</v>
      </c>
      <c r="P28" s="1" t="s">
        <v>15</v>
      </c>
      <c r="Q28" s="1" t="s">
        <v>165</v>
      </c>
      <c r="R28" s="1" t="s">
        <v>170</v>
      </c>
      <c r="S28" s="1" t="s">
        <v>171</v>
      </c>
      <c r="T28" s="1"/>
      <c r="U28" s="1"/>
      <c r="V28" s="1"/>
      <c r="W28" s="1"/>
    </row>
    <row r="29" ht="12.75" customHeight="1" spans="1:23">
      <c r="A29" s="1" t="s">
        <v>200</v>
      </c>
      <c r="B29" s="1">
        <v>28</v>
      </c>
      <c r="C29" s="1" t="s">
        <v>16</v>
      </c>
      <c r="D29" s="1" t="s">
        <v>173</v>
      </c>
      <c r="E29" s="1" t="s">
        <v>17</v>
      </c>
      <c r="F29" s="1">
        <v>22033</v>
      </c>
      <c r="G29" s="1" t="s">
        <v>165</v>
      </c>
      <c r="H29" s="1" t="s">
        <v>165</v>
      </c>
      <c r="I29" s="1"/>
      <c r="J29" s="1"/>
      <c r="K29" s="1" t="s">
        <v>166</v>
      </c>
      <c r="L29" s="1" t="s">
        <v>167</v>
      </c>
      <c r="M29" s="1" t="s">
        <v>174</v>
      </c>
      <c r="N29" s="1" t="s">
        <v>21</v>
      </c>
      <c r="O29" s="1" t="s">
        <v>169</v>
      </c>
      <c r="P29" s="1" t="s">
        <v>15</v>
      </c>
      <c r="Q29" s="1" t="s">
        <v>165</v>
      </c>
      <c r="R29" s="1" t="s">
        <v>170</v>
      </c>
      <c r="S29" s="1" t="s">
        <v>171</v>
      </c>
      <c r="T29" s="1"/>
      <c r="U29" s="1"/>
      <c r="V29" s="1"/>
      <c r="W29" s="1"/>
    </row>
    <row r="30" ht="12.75" customHeight="1" spans="1:23">
      <c r="A30" s="1" t="s">
        <v>201</v>
      </c>
      <c r="B30" s="1">
        <v>29</v>
      </c>
      <c r="C30" s="1" t="s">
        <v>12</v>
      </c>
      <c r="D30" s="1" t="s">
        <v>39</v>
      </c>
      <c r="E30" s="1" t="s">
        <v>35</v>
      </c>
      <c r="F30" s="1">
        <v>120900</v>
      </c>
      <c r="G30" s="1" t="s">
        <v>165</v>
      </c>
      <c r="H30" s="1" t="s">
        <v>165</v>
      </c>
      <c r="I30" s="1"/>
      <c r="J30" s="1"/>
      <c r="K30" s="1" t="s">
        <v>166</v>
      </c>
      <c r="L30" s="1" t="s">
        <v>167</v>
      </c>
      <c r="M30" s="1" t="s">
        <v>174</v>
      </c>
      <c r="N30" s="1" t="s">
        <v>21</v>
      </c>
      <c r="O30" s="1" t="s">
        <v>169</v>
      </c>
      <c r="P30" s="1" t="s">
        <v>15</v>
      </c>
      <c r="Q30" s="1" t="s">
        <v>165</v>
      </c>
      <c r="R30" s="1" t="s">
        <v>170</v>
      </c>
      <c r="S30" s="1" t="s">
        <v>171</v>
      </c>
      <c r="T30" s="1"/>
      <c r="U30" s="1"/>
      <c r="V30" s="1"/>
      <c r="W30" s="1"/>
    </row>
    <row r="31" ht="12.75" customHeight="1" spans="1:23">
      <c r="A31" s="1" t="s">
        <v>202</v>
      </c>
      <c r="B31" s="1">
        <v>30</v>
      </c>
      <c r="C31" s="1" t="s">
        <v>16</v>
      </c>
      <c r="D31" s="1" t="s">
        <v>173</v>
      </c>
      <c r="E31" s="1" t="s">
        <v>17</v>
      </c>
      <c r="F31" s="1">
        <v>71233</v>
      </c>
      <c r="G31" s="1" t="s">
        <v>165</v>
      </c>
      <c r="H31" s="1" t="s">
        <v>165</v>
      </c>
      <c r="I31" s="1"/>
      <c r="J31" s="1"/>
      <c r="K31" s="1" t="s">
        <v>166</v>
      </c>
      <c r="L31" s="1" t="s">
        <v>167</v>
      </c>
      <c r="M31" s="1" t="s">
        <v>203</v>
      </c>
      <c r="N31" s="1" t="s">
        <v>36</v>
      </c>
      <c r="O31" s="1" t="s">
        <v>169</v>
      </c>
      <c r="P31" s="1" t="s">
        <v>15</v>
      </c>
      <c r="Q31" s="1" t="s">
        <v>165</v>
      </c>
      <c r="R31" s="1" t="s">
        <v>170</v>
      </c>
      <c r="S31" s="1" t="s">
        <v>171</v>
      </c>
      <c r="T31" s="1"/>
      <c r="U31" s="1"/>
      <c r="V31" s="1"/>
      <c r="W31" s="1"/>
    </row>
    <row r="32" ht="12.75" customHeight="1" spans="1:23">
      <c r="A32" s="1" t="s">
        <v>204</v>
      </c>
      <c r="B32" s="1">
        <v>31</v>
      </c>
      <c r="C32" s="1" t="s">
        <v>12</v>
      </c>
      <c r="D32" s="1" t="s">
        <v>39</v>
      </c>
      <c r="E32" s="1" t="s">
        <v>37</v>
      </c>
      <c r="F32" s="1">
        <v>74300</v>
      </c>
      <c r="G32" s="1" t="s">
        <v>165</v>
      </c>
      <c r="H32" s="1" t="s">
        <v>165</v>
      </c>
      <c r="I32" s="1"/>
      <c r="J32" s="1"/>
      <c r="K32" s="1" t="s">
        <v>166</v>
      </c>
      <c r="L32" s="1" t="s">
        <v>167</v>
      </c>
      <c r="M32" s="1" t="s">
        <v>174</v>
      </c>
      <c r="N32" s="1" t="s">
        <v>21</v>
      </c>
      <c r="O32" s="1" t="s">
        <v>169</v>
      </c>
      <c r="P32" s="1" t="s">
        <v>15</v>
      </c>
      <c r="Q32" s="1" t="s">
        <v>165</v>
      </c>
      <c r="R32" s="1" t="s">
        <v>170</v>
      </c>
      <c r="S32" s="1" t="s">
        <v>171</v>
      </c>
      <c r="T32" s="1"/>
      <c r="U32" s="1"/>
      <c r="V32" s="1"/>
      <c r="W32" s="1"/>
    </row>
    <row r="33" ht="12.75" customHeight="1" spans="1:23">
      <c r="A33" s="1" t="s">
        <v>205</v>
      </c>
      <c r="B33" s="1">
        <v>32</v>
      </c>
      <c r="C33" s="1" t="s">
        <v>16</v>
      </c>
      <c r="D33" s="1" t="s">
        <v>173</v>
      </c>
      <c r="E33" s="1" t="s">
        <v>17</v>
      </c>
      <c r="F33" s="1">
        <v>32300</v>
      </c>
      <c r="G33" s="1" t="s">
        <v>165</v>
      </c>
      <c r="H33" s="1" t="s">
        <v>165</v>
      </c>
      <c r="I33" s="1"/>
      <c r="J33" s="1"/>
      <c r="K33" s="1" t="s">
        <v>166</v>
      </c>
      <c r="L33" s="1" t="s">
        <v>167</v>
      </c>
      <c r="M33" s="1" t="s">
        <v>174</v>
      </c>
      <c r="N33" s="1" t="s">
        <v>21</v>
      </c>
      <c r="O33" s="1" t="s">
        <v>169</v>
      </c>
      <c r="P33" s="1" t="s">
        <v>15</v>
      </c>
      <c r="Q33" s="1" t="s">
        <v>165</v>
      </c>
      <c r="R33" s="1" t="s">
        <v>170</v>
      </c>
      <c r="S33" s="1" t="s">
        <v>171</v>
      </c>
      <c r="T33" s="1"/>
      <c r="U33" s="1"/>
      <c r="V33" s="1"/>
      <c r="W33" s="1"/>
    </row>
    <row r="34" ht="12.75" customHeight="1" spans="1:23">
      <c r="A34" s="1" t="s">
        <v>206</v>
      </c>
      <c r="B34" s="1">
        <v>33</v>
      </c>
      <c r="C34" s="1" t="s">
        <v>12</v>
      </c>
      <c r="D34" s="1" t="s">
        <v>39</v>
      </c>
      <c r="E34" s="1" t="s">
        <v>38</v>
      </c>
      <c r="F34" s="1">
        <v>125233</v>
      </c>
      <c r="G34" s="1" t="s">
        <v>165</v>
      </c>
      <c r="H34" s="1" t="s">
        <v>165</v>
      </c>
      <c r="I34" s="1"/>
      <c r="J34" s="1"/>
      <c r="K34" s="1" t="s">
        <v>166</v>
      </c>
      <c r="L34" s="1" t="s">
        <v>167</v>
      </c>
      <c r="M34" s="1" t="s">
        <v>174</v>
      </c>
      <c r="N34" s="1" t="s">
        <v>21</v>
      </c>
      <c r="O34" s="1" t="s">
        <v>169</v>
      </c>
      <c r="P34" s="1" t="s">
        <v>15</v>
      </c>
      <c r="Q34" s="1" t="s">
        <v>165</v>
      </c>
      <c r="R34" s="1" t="s">
        <v>170</v>
      </c>
      <c r="S34" s="1" t="s">
        <v>171</v>
      </c>
      <c r="T34" s="1"/>
      <c r="U34" s="1"/>
      <c r="V34" s="1"/>
      <c r="W34" s="1"/>
    </row>
    <row r="35" ht="12.75" customHeight="1" spans="1:23">
      <c r="A35" s="1" t="s">
        <v>207</v>
      </c>
      <c r="B35" s="1">
        <v>34</v>
      </c>
      <c r="C35" s="1" t="s">
        <v>16</v>
      </c>
      <c r="D35" s="1" t="s">
        <v>173</v>
      </c>
      <c r="E35" s="1" t="s">
        <v>17</v>
      </c>
      <c r="F35" s="1">
        <v>44867</v>
      </c>
      <c r="G35" s="1" t="s">
        <v>165</v>
      </c>
      <c r="H35" s="1" t="s">
        <v>165</v>
      </c>
      <c r="I35" s="1"/>
      <c r="J35" s="1"/>
      <c r="K35" s="1" t="s">
        <v>166</v>
      </c>
      <c r="L35" s="1" t="s">
        <v>167</v>
      </c>
      <c r="M35" s="1" t="s">
        <v>174</v>
      </c>
      <c r="N35" s="1" t="s">
        <v>21</v>
      </c>
      <c r="O35" s="1" t="s">
        <v>169</v>
      </c>
      <c r="P35" s="1" t="s">
        <v>15</v>
      </c>
      <c r="Q35" s="1" t="s">
        <v>165</v>
      </c>
      <c r="R35" s="1" t="s">
        <v>170</v>
      </c>
      <c r="S35" s="1" t="s">
        <v>171</v>
      </c>
      <c r="T35" s="1"/>
      <c r="U35" s="1"/>
      <c r="V35" s="1"/>
      <c r="W35" s="1"/>
    </row>
    <row r="36" ht="12.75" customHeight="1" spans="1:23">
      <c r="A36" s="1" t="s">
        <v>208</v>
      </c>
      <c r="B36" s="1">
        <v>35</v>
      </c>
      <c r="C36" s="1" t="s">
        <v>12</v>
      </c>
      <c r="D36" s="1" t="s">
        <v>39</v>
      </c>
      <c r="E36" s="1" t="s">
        <v>39</v>
      </c>
      <c r="F36" s="1">
        <v>99233</v>
      </c>
      <c r="G36" s="1" t="s">
        <v>165</v>
      </c>
      <c r="H36" s="1" t="s">
        <v>165</v>
      </c>
      <c r="I36" s="1"/>
      <c r="J36" s="1"/>
      <c r="K36" s="1" t="s">
        <v>166</v>
      </c>
      <c r="L36" s="1" t="s">
        <v>167</v>
      </c>
      <c r="M36" s="1" t="s">
        <v>174</v>
      </c>
      <c r="N36" s="1" t="s">
        <v>21</v>
      </c>
      <c r="O36" s="1" t="s">
        <v>169</v>
      </c>
      <c r="P36" s="1" t="s">
        <v>15</v>
      </c>
      <c r="Q36" s="1" t="s">
        <v>165</v>
      </c>
      <c r="R36" s="1" t="s">
        <v>170</v>
      </c>
      <c r="S36" s="1" t="s">
        <v>171</v>
      </c>
      <c r="T36" s="1"/>
      <c r="U36" s="1"/>
      <c r="V36" s="1"/>
      <c r="W36" s="1"/>
    </row>
    <row r="37" ht="12.75" customHeight="1" spans="1:23">
      <c r="A37" s="1" t="s">
        <v>209</v>
      </c>
      <c r="B37" s="1">
        <v>36</v>
      </c>
      <c r="C37" s="1" t="s">
        <v>16</v>
      </c>
      <c r="D37" s="1" t="s">
        <v>173</v>
      </c>
      <c r="E37" s="1" t="s">
        <v>17</v>
      </c>
      <c r="F37" s="1">
        <v>40100</v>
      </c>
      <c r="G37" s="1" t="s">
        <v>165</v>
      </c>
      <c r="H37" s="1" t="s">
        <v>165</v>
      </c>
      <c r="I37" s="1"/>
      <c r="J37" s="1"/>
      <c r="K37" s="1" t="s">
        <v>166</v>
      </c>
      <c r="L37" s="1" t="s">
        <v>167</v>
      </c>
      <c r="M37" s="1" t="s">
        <v>174</v>
      </c>
      <c r="N37" s="1" t="s">
        <v>21</v>
      </c>
      <c r="O37" s="1" t="s">
        <v>169</v>
      </c>
      <c r="P37" s="1" t="s">
        <v>15</v>
      </c>
      <c r="Q37" s="1" t="s">
        <v>165</v>
      </c>
      <c r="R37" s="1" t="s">
        <v>170</v>
      </c>
      <c r="S37" s="1" t="s">
        <v>171</v>
      </c>
      <c r="T37" s="1"/>
      <c r="U37" s="1"/>
      <c r="V37" s="1"/>
      <c r="W37" s="1"/>
    </row>
    <row r="38" ht="12.75" customHeight="1" spans="1:23">
      <c r="A38" s="1" t="s">
        <v>210</v>
      </c>
      <c r="B38" s="1">
        <v>37</v>
      </c>
      <c r="C38" s="1" t="s">
        <v>12</v>
      </c>
      <c r="D38" s="1" t="s">
        <v>39</v>
      </c>
      <c r="E38" s="1" t="s">
        <v>40</v>
      </c>
      <c r="F38" s="1">
        <v>129900</v>
      </c>
      <c r="G38" s="1" t="s">
        <v>165</v>
      </c>
      <c r="H38" s="1" t="s">
        <v>165</v>
      </c>
      <c r="I38" s="1"/>
      <c r="J38" s="1"/>
      <c r="K38" s="1" t="s">
        <v>166</v>
      </c>
      <c r="L38" s="1" t="s">
        <v>167</v>
      </c>
      <c r="M38" s="1" t="s">
        <v>174</v>
      </c>
      <c r="N38" s="1" t="s">
        <v>21</v>
      </c>
      <c r="O38" s="1" t="s">
        <v>169</v>
      </c>
      <c r="P38" s="1" t="s">
        <v>15</v>
      </c>
      <c r="Q38" s="1" t="s">
        <v>165</v>
      </c>
      <c r="R38" s="1" t="s">
        <v>170</v>
      </c>
      <c r="S38" s="1" t="s">
        <v>171</v>
      </c>
      <c r="T38" s="1"/>
      <c r="U38" s="1"/>
      <c r="V38" s="1"/>
      <c r="W38" s="1"/>
    </row>
    <row r="39" ht="12.75" customHeight="1" spans="1:23">
      <c r="A39" s="1" t="s">
        <v>211</v>
      </c>
      <c r="B39" s="1">
        <v>38</v>
      </c>
      <c r="C39" s="1" t="s">
        <v>16</v>
      </c>
      <c r="D39" s="1" t="s">
        <v>173</v>
      </c>
      <c r="E39" s="1" t="s">
        <v>17</v>
      </c>
      <c r="F39" s="1">
        <v>47933</v>
      </c>
      <c r="G39" s="1" t="s">
        <v>165</v>
      </c>
      <c r="H39" s="1" t="s">
        <v>165</v>
      </c>
      <c r="I39" s="1"/>
      <c r="J39" s="1"/>
      <c r="K39" s="1" t="s">
        <v>166</v>
      </c>
      <c r="L39" s="1" t="s">
        <v>167</v>
      </c>
      <c r="M39" s="1" t="s">
        <v>174</v>
      </c>
      <c r="N39" s="1" t="s">
        <v>21</v>
      </c>
      <c r="O39" s="1" t="s">
        <v>169</v>
      </c>
      <c r="P39" s="1" t="s">
        <v>15</v>
      </c>
      <c r="Q39" s="1" t="s">
        <v>165</v>
      </c>
      <c r="R39" s="1" t="s">
        <v>170</v>
      </c>
      <c r="S39" s="1" t="s">
        <v>171</v>
      </c>
      <c r="T39" s="1"/>
      <c r="U39" s="1"/>
      <c r="V39" s="1"/>
      <c r="W39" s="1"/>
    </row>
    <row r="40" ht="12.75" customHeight="1" spans="1:23">
      <c r="A40" s="1" t="s">
        <v>212</v>
      </c>
      <c r="B40" s="1">
        <v>39</v>
      </c>
      <c r="C40" s="1" t="s">
        <v>12</v>
      </c>
      <c r="D40" s="1" t="s">
        <v>39</v>
      </c>
      <c r="E40" s="1" t="s">
        <v>41</v>
      </c>
      <c r="F40" s="1">
        <v>197400</v>
      </c>
      <c r="G40" s="1" t="s">
        <v>165</v>
      </c>
      <c r="H40" s="1" t="s">
        <v>165</v>
      </c>
      <c r="I40" s="1"/>
      <c r="J40" s="1"/>
      <c r="K40" s="1" t="s">
        <v>166</v>
      </c>
      <c r="L40" s="1" t="s">
        <v>167</v>
      </c>
      <c r="M40" s="1" t="s">
        <v>174</v>
      </c>
      <c r="N40" s="1" t="s">
        <v>21</v>
      </c>
      <c r="O40" s="1" t="s">
        <v>169</v>
      </c>
      <c r="P40" s="1" t="s">
        <v>15</v>
      </c>
      <c r="Q40" s="1" t="s">
        <v>165</v>
      </c>
      <c r="R40" s="1" t="s">
        <v>170</v>
      </c>
      <c r="S40" s="1" t="s">
        <v>171</v>
      </c>
      <c r="T40" s="1"/>
      <c r="U40" s="1"/>
      <c r="V40" s="1"/>
      <c r="W40" s="1"/>
    </row>
    <row r="41" ht="12.75" customHeight="1" spans="1:23">
      <c r="A41" s="1" t="s">
        <v>213</v>
      </c>
      <c r="B41" s="1">
        <v>40</v>
      </c>
      <c r="C41" s="1" t="s">
        <v>16</v>
      </c>
      <c r="D41" s="1" t="s">
        <v>173</v>
      </c>
      <c r="E41" s="1" t="s">
        <v>22</v>
      </c>
      <c r="F41" s="1">
        <v>67267</v>
      </c>
      <c r="G41" s="1" t="s">
        <v>165</v>
      </c>
      <c r="H41" s="1" t="s">
        <v>165</v>
      </c>
      <c r="I41" s="1"/>
      <c r="J41" s="1"/>
      <c r="K41" s="1" t="s">
        <v>166</v>
      </c>
      <c r="L41" s="1" t="s">
        <v>167</v>
      </c>
      <c r="M41" s="1" t="s">
        <v>168</v>
      </c>
      <c r="N41" s="1" t="s">
        <v>42</v>
      </c>
      <c r="O41" s="1" t="s">
        <v>169</v>
      </c>
      <c r="P41" s="1" t="s">
        <v>15</v>
      </c>
      <c r="Q41" s="1" t="s">
        <v>165</v>
      </c>
      <c r="R41" s="1" t="s">
        <v>170</v>
      </c>
      <c r="S41" s="1" t="s">
        <v>171</v>
      </c>
      <c r="T41" s="1"/>
      <c r="U41" s="1"/>
      <c r="V41" s="1"/>
      <c r="W41" s="1"/>
    </row>
    <row r="42" ht="12.75" customHeight="1" spans="1:23">
      <c r="A42" s="1" t="s">
        <v>214</v>
      </c>
      <c r="B42" s="1">
        <v>41</v>
      </c>
      <c r="C42" s="1" t="s">
        <v>12</v>
      </c>
      <c r="D42" s="1" t="s">
        <v>39</v>
      </c>
      <c r="E42" s="1" t="s">
        <v>43</v>
      </c>
      <c r="F42" s="1">
        <v>110167</v>
      </c>
      <c r="G42" s="1" t="s">
        <v>165</v>
      </c>
      <c r="H42" s="1" t="s">
        <v>165</v>
      </c>
      <c r="I42" s="1"/>
      <c r="J42" s="1"/>
      <c r="K42" s="1" t="s">
        <v>166</v>
      </c>
      <c r="L42" s="1" t="s">
        <v>167</v>
      </c>
      <c r="M42" s="1" t="s">
        <v>174</v>
      </c>
      <c r="N42" s="1" t="s">
        <v>21</v>
      </c>
      <c r="O42" s="1" t="s">
        <v>169</v>
      </c>
      <c r="P42" s="1" t="s">
        <v>15</v>
      </c>
      <c r="Q42" s="1" t="s">
        <v>165</v>
      </c>
      <c r="R42" s="1" t="s">
        <v>170</v>
      </c>
      <c r="S42" s="1" t="s">
        <v>171</v>
      </c>
      <c r="T42" s="1"/>
      <c r="U42" s="1"/>
      <c r="V42" s="1"/>
      <c r="W42" s="1"/>
    </row>
    <row r="43" ht="12.75" customHeight="1" spans="1:23">
      <c r="A43" s="1" t="s">
        <v>215</v>
      </c>
      <c r="B43" s="1">
        <v>42</v>
      </c>
      <c r="C43" s="1" t="s">
        <v>16</v>
      </c>
      <c r="D43" s="1" t="s">
        <v>173</v>
      </c>
      <c r="E43" s="1" t="s">
        <v>17</v>
      </c>
      <c r="F43" s="1">
        <v>37667</v>
      </c>
      <c r="G43" s="1" t="s">
        <v>165</v>
      </c>
      <c r="H43" s="1" t="s">
        <v>165</v>
      </c>
      <c r="I43" s="1"/>
      <c r="J43" s="1"/>
      <c r="K43" s="1" t="s">
        <v>166</v>
      </c>
      <c r="L43" s="1" t="s">
        <v>167</v>
      </c>
      <c r="M43" s="1" t="s">
        <v>174</v>
      </c>
      <c r="N43" s="1" t="s">
        <v>21</v>
      </c>
      <c r="O43" s="1" t="s">
        <v>169</v>
      </c>
      <c r="P43" s="1" t="s">
        <v>15</v>
      </c>
      <c r="Q43" s="1" t="s">
        <v>165</v>
      </c>
      <c r="R43" s="1" t="s">
        <v>170</v>
      </c>
      <c r="S43" s="1" t="s">
        <v>171</v>
      </c>
      <c r="T43" s="1"/>
      <c r="U43" s="1"/>
      <c r="V43" s="1"/>
      <c r="W43" s="1"/>
    </row>
    <row r="44" ht="12.75" customHeight="1" spans="1:23">
      <c r="A44" s="1" t="s">
        <v>216</v>
      </c>
      <c r="B44" s="1">
        <v>43</v>
      </c>
      <c r="C44" s="1" t="s">
        <v>12</v>
      </c>
      <c r="D44" s="1" t="s">
        <v>39</v>
      </c>
      <c r="E44" s="1" t="s">
        <v>44</v>
      </c>
      <c r="F44" s="1">
        <v>107367</v>
      </c>
      <c r="G44" s="1" t="s">
        <v>165</v>
      </c>
      <c r="H44" s="1" t="s">
        <v>165</v>
      </c>
      <c r="I44" s="1"/>
      <c r="J44" s="1"/>
      <c r="K44" s="1" t="s">
        <v>166</v>
      </c>
      <c r="L44" s="1" t="s">
        <v>167</v>
      </c>
      <c r="M44" s="1" t="s">
        <v>174</v>
      </c>
      <c r="N44" s="1" t="s">
        <v>21</v>
      </c>
      <c r="O44" s="1" t="s">
        <v>169</v>
      </c>
      <c r="P44" s="1" t="s">
        <v>15</v>
      </c>
      <c r="Q44" s="1" t="s">
        <v>165</v>
      </c>
      <c r="R44" s="1" t="s">
        <v>170</v>
      </c>
      <c r="S44" s="1" t="s">
        <v>171</v>
      </c>
      <c r="T44" s="1"/>
      <c r="U44" s="1"/>
      <c r="V44" s="1"/>
      <c r="W44" s="1"/>
    </row>
    <row r="45" ht="12.75" customHeight="1" spans="1:23">
      <c r="A45" s="1" t="s">
        <v>217</v>
      </c>
      <c r="B45" s="1">
        <v>44</v>
      </c>
      <c r="C45" s="1" t="s">
        <v>16</v>
      </c>
      <c r="D45" s="1" t="s">
        <v>173</v>
      </c>
      <c r="E45" s="1" t="s">
        <v>17</v>
      </c>
      <c r="F45" s="1">
        <v>47367</v>
      </c>
      <c r="G45" s="1" t="s">
        <v>165</v>
      </c>
      <c r="H45" s="1" t="s">
        <v>165</v>
      </c>
      <c r="I45" s="1"/>
      <c r="J45" s="1"/>
      <c r="K45" s="1" t="s">
        <v>166</v>
      </c>
      <c r="L45" s="1" t="s">
        <v>167</v>
      </c>
      <c r="M45" s="1" t="s">
        <v>174</v>
      </c>
      <c r="N45" s="1" t="s">
        <v>21</v>
      </c>
      <c r="O45" s="1" t="s">
        <v>169</v>
      </c>
      <c r="P45" s="1" t="s">
        <v>15</v>
      </c>
      <c r="Q45" s="1" t="s">
        <v>165</v>
      </c>
      <c r="R45" s="1" t="s">
        <v>170</v>
      </c>
      <c r="S45" s="1" t="s">
        <v>171</v>
      </c>
      <c r="T45" s="1"/>
      <c r="U45" s="1"/>
      <c r="V45" s="1"/>
      <c r="W45" s="1"/>
    </row>
    <row r="46" ht="12.75" customHeight="1" spans="1:23">
      <c r="A46" s="1" t="s">
        <v>218</v>
      </c>
      <c r="B46" s="1">
        <v>45</v>
      </c>
      <c r="C46" s="1" t="s">
        <v>12</v>
      </c>
      <c r="D46" s="1" t="s">
        <v>39</v>
      </c>
      <c r="E46" s="1" t="s">
        <v>45</v>
      </c>
      <c r="F46" s="1">
        <v>121667</v>
      </c>
      <c r="G46" s="1" t="s">
        <v>165</v>
      </c>
      <c r="H46" s="1" t="s">
        <v>165</v>
      </c>
      <c r="I46" s="1"/>
      <c r="J46" s="1"/>
      <c r="K46" s="1" t="s">
        <v>166</v>
      </c>
      <c r="L46" s="1" t="s">
        <v>167</v>
      </c>
      <c r="M46" s="1" t="s">
        <v>174</v>
      </c>
      <c r="N46" s="1" t="s">
        <v>21</v>
      </c>
      <c r="O46" s="1" t="s">
        <v>169</v>
      </c>
      <c r="P46" s="1" t="s">
        <v>15</v>
      </c>
      <c r="Q46" s="1" t="s">
        <v>165</v>
      </c>
      <c r="R46" s="1" t="s">
        <v>170</v>
      </c>
      <c r="S46" s="1" t="s">
        <v>171</v>
      </c>
      <c r="T46" s="1"/>
      <c r="U46" s="1"/>
      <c r="V46" s="1"/>
      <c r="W46" s="1"/>
    </row>
    <row r="47" ht="12.75" customHeight="1" spans="1:23">
      <c r="A47" s="1" t="s">
        <v>219</v>
      </c>
      <c r="B47" s="1">
        <v>46</v>
      </c>
      <c r="C47" s="1" t="s">
        <v>16</v>
      </c>
      <c r="D47" s="1" t="s">
        <v>173</v>
      </c>
      <c r="E47" s="1" t="s">
        <v>17</v>
      </c>
      <c r="F47" s="1">
        <v>43667</v>
      </c>
      <c r="G47" s="1" t="s">
        <v>165</v>
      </c>
      <c r="H47" s="1" t="s">
        <v>165</v>
      </c>
      <c r="I47" s="1"/>
      <c r="J47" s="1"/>
      <c r="K47" s="1" t="s">
        <v>166</v>
      </c>
      <c r="L47" s="1" t="s">
        <v>167</v>
      </c>
      <c r="M47" s="1" t="s">
        <v>174</v>
      </c>
      <c r="N47" s="1" t="s">
        <v>21</v>
      </c>
      <c r="O47" s="1" t="s">
        <v>169</v>
      </c>
      <c r="P47" s="1" t="s">
        <v>15</v>
      </c>
      <c r="Q47" s="1" t="s">
        <v>165</v>
      </c>
      <c r="R47" s="1" t="s">
        <v>170</v>
      </c>
      <c r="S47" s="1" t="s">
        <v>171</v>
      </c>
      <c r="T47" s="1"/>
      <c r="U47" s="1"/>
      <c r="V47" s="1"/>
      <c r="W47" s="1"/>
    </row>
    <row r="48" ht="12.75" customHeight="1" spans="1:23">
      <c r="A48" s="1" t="s">
        <v>220</v>
      </c>
      <c r="B48" s="1">
        <v>47</v>
      </c>
      <c r="C48" s="1" t="s">
        <v>12</v>
      </c>
      <c r="D48" s="1" t="s">
        <v>39</v>
      </c>
      <c r="E48" s="1" t="s">
        <v>46</v>
      </c>
      <c r="F48" s="1">
        <v>732333</v>
      </c>
      <c r="G48" s="1" t="s">
        <v>165</v>
      </c>
      <c r="H48" s="1" t="s">
        <v>165</v>
      </c>
      <c r="I48" s="1"/>
      <c r="J48" s="1"/>
      <c r="K48" s="1" t="s">
        <v>166</v>
      </c>
      <c r="L48" s="1" t="s">
        <v>167</v>
      </c>
      <c r="M48" s="1" t="s">
        <v>174</v>
      </c>
      <c r="N48" s="1" t="s">
        <v>21</v>
      </c>
      <c r="O48" s="1" t="s">
        <v>169</v>
      </c>
      <c r="P48" s="1" t="s">
        <v>15</v>
      </c>
      <c r="Q48" s="1" t="s">
        <v>165</v>
      </c>
      <c r="R48" s="1" t="s">
        <v>170</v>
      </c>
      <c r="S48" s="1" t="s">
        <v>171</v>
      </c>
      <c r="T48" s="1"/>
      <c r="U48" s="1"/>
      <c r="V48" s="1"/>
      <c r="W48" s="1"/>
    </row>
    <row r="49" ht="12.75" customHeight="1" spans="1:23">
      <c r="A49" s="1" t="s">
        <v>221</v>
      </c>
      <c r="B49" s="1">
        <v>48</v>
      </c>
      <c r="C49" s="1" t="s">
        <v>16</v>
      </c>
      <c r="D49" s="1" t="s">
        <v>173</v>
      </c>
      <c r="E49" s="1" t="s">
        <v>17</v>
      </c>
      <c r="F49" s="1">
        <v>120233</v>
      </c>
      <c r="G49" s="1" t="s">
        <v>165</v>
      </c>
      <c r="H49" s="1" t="s">
        <v>165</v>
      </c>
      <c r="I49" s="1"/>
      <c r="J49" s="1"/>
      <c r="K49" s="1" t="s">
        <v>166</v>
      </c>
      <c r="L49" s="1" t="s">
        <v>167</v>
      </c>
      <c r="M49" s="1" t="s">
        <v>174</v>
      </c>
      <c r="N49" s="1" t="s">
        <v>21</v>
      </c>
      <c r="O49" s="1" t="s">
        <v>169</v>
      </c>
      <c r="P49" s="1" t="s">
        <v>15</v>
      </c>
      <c r="Q49" s="1" t="s">
        <v>165</v>
      </c>
      <c r="R49" s="1" t="s">
        <v>170</v>
      </c>
      <c r="S49" s="1" t="s">
        <v>171</v>
      </c>
      <c r="T49" s="1"/>
      <c r="U49" s="1"/>
      <c r="V49" s="1"/>
      <c r="W49" s="1"/>
    </row>
    <row r="50" ht="12.75" customHeight="1" spans="1:23">
      <c r="A50" s="1" t="s">
        <v>222</v>
      </c>
      <c r="B50" s="1">
        <v>49</v>
      </c>
      <c r="C50" s="1" t="s">
        <v>12</v>
      </c>
      <c r="D50" s="1" t="s">
        <v>39</v>
      </c>
      <c r="E50" s="1" t="s">
        <v>223</v>
      </c>
      <c r="F50" s="1">
        <v>134433</v>
      </c>
      <c r="G50" s="1" t="s">
        <v>165</v>
      </c>
      <c r="H50" s="1" t="s">
        <v>165</v>
      </c>
      <c r="I50" s="1"/>
      <c r="J50" s="1"/>
      <c r="K50" s="1" t="s">
        <v>166</v>
      </c>
      <c r="L50" s="1" t="s">
        <v>167</v>
      </c>
      <c r="M50" s="1" t="s">
        <v>174</v>
      </c>
      <c r="N50" s="1" t="s">
        <v>21</v>
      </c>
      <c r="O50" s="1" t="s">
        <v>169</v>
      </c>
      <c r="P50" s="1" t="s">
        <v>15</v>
      </c>
      <c r="Q50" s="1" t="s">
        <v>165</v>
      </c>
      <c r="R50" s="1" t="s">
        <v>170</v>
      </c>
      <c r="S50" s="1" t="s">
        <v>171</v>
      </c>
      <c r="T50" s="1"/>
      <c r="U50" s="1"/>
      <c r="V50" s="1"/>
      <c r="W50" s="1"/>
    </row>
    <row r="51" ht="12.75" customHeight="1" spans="1:23">
      <c r="A51" s="1" t="s">
        <v>224</v>
      </c>
      <c r="B51" s="1">
        <v>50</v>
      </c>
      <c r="C51" s="1" t="s">
        <v>16</v>
      </c>
      <c r="D51" s="1" t="s">
        <v>173</v>
      </c>
      <c r="E51" s="1" t="s">
        <v>17</v>
      </c>
      <c r="F51" s="1">
        <v>72433</v>
      </c>
      <c r="G51" s="1" t="s">
        <v>165</v>
      </c>
      <c r="H51" s="1" t="s">
        <v>165</v>
      </c>
      <c r="I51" s="1"/>
      <c r="J51" s="1"/>
      <c r="K51" s="1" t="s">
        <v>166</v>
      </c>
      <c r="L51" s="1" t="s">
        <v>167</v>
      </c>
      <c r="M51" s="1" t="s">
        <v>174</v>
      </c>
      <c r="N51" s="1" t="s">
        <v>21</v>
      </c>
      <c r="O51" s="1" t="s">
        <v>169</v>
      </c>
      <c r="P51" s="1" t="s">
        <v>15</v>
      </c>
      <c r="Q51" s="1" t="s">
        <v>165</v>
      </c>
      <c r="R51" s="1" t="s">
        <v>170</v>
      </c>
      <c r="S51" s="1" t="s">
        <v>171</v>
      </c>
      <c r="T51" s="1"/>
      <c r="U51" s="1"/>
      <c r="V51" s="1"/>
      <c r="W51" s="1"/>
    </row>
    <row r="52" ht="12.75" customHeight="1" spans="1:23">
      <c r="A52" s="1" t="s">
        <v>225</v>
      </c>
      <c r="B52" s="1">
        <v>51</v>
      </c>
      <c r="C52" s="1" t="s">
        <v>12</v>
      </c>
      <c r="D52" s="1" t="s">
        <v>39</v>
      </c>
      <c r="E52" s="1" t="s">
        <v>48</v>
      </c>
      <c r="F52" s="1">
        <v>67167</v>
      </c>
      <c r="G52" s="1" t="s">
        <v>165</v>
      </c>
      <c r="H52" s="1" t="s">
        <v>165</v>
      </c>
      <c r="I52" s="1"/>
      <c r="J52" s="1"/>
      <c r="K52" s="1" t="s">
        <v>166</v>
      </c>
      <c r="L52" s="1" t="s">
        <v>167</v>
      </c>
      <c r="M52" s="1" t="s">
        <v>174</v>
      </c>
      <c r="N52" s="1" t="s">
        <v>21</v>
      </c>
      <c r="O52" s="1" t="s">
        <v>169</v>
      </c>
      <c r="P52" s="1" t="s">
        <v>15</v>
      </c>
      <c r="Q52" s="1" t="s">
        <v>165</v>
      </c>
      <c r="R52" s="1" t="s">
        <v>170</v>
      </c>
      <c r="S52" s="1" t="s">
        <v>171</v>
      </c>
      <c r="T52" s="1"/>
      <c r="U52" s="1"/>
      <c r="V52" s="1"/>
      <c r="W52" s="1"/>
    </row>
    <row r="53" ht="12.75" customHeight="1" spans="1:23">
      <c r="A53" s="1" t="s">
        <v>226</v>
      </c>
      <c r="B53" s="1">
        <v>52</v>
      </c>
      <c r="C53" s="1" t="s">
        <v>16</v>
      </c>
      <c r="D53" s="1" t="s">
        <v>173</v>
      </c>
      <c r="E53" s="1" t="s">
        <v>17</v>
      </c>
      <c r="F53" s="1">
        <v>34267</v>
      </c>
      <c r="G53" s="1" t="s">
        <v>165</v>
      </c>
      <c r="H53" s="1" t="s">
        <v>165</v>
      </c>
      <c r="I53" s="1"/>
      <c r="J53" s="1"/>
      <c r="K53" s="1" t="s">
        <v>166</v>
      </c>
      <c r="L53" s="1" t="s">
        <v>167</v>
      </c>
      <c r="M53" s="1" t="s">
        <v>174</v>
      </c>
      <c r="N53" s="1" t="s">
        <v>21</v>
      </c>
      <c r="O53" s="1" t="s">
        <v>169</v>
      </c>
      <c r="P53" s="1" t="s">
        <v>15</v>
      </c>
      <c r="Q53" s="1" t="s">
        <v>165</v>
      </c>
      <c r="R53" s="1" t="s">
        <v>170</v>
      </c>
      <c r="S53" s="1" t="s">
        <v>171</v>
      </c>
      <c r="T53" s="1"/>
      <c r="U53" s="1"/>
      <c r="V53" s="1"/>
      <c r="W53" s="1"/>
    </row>
    <row r="54" ht="12.75" customHeight="1" spans="1:23">
      <c r="A54" s="1" t="s">
        <v>227</v>
      </c>
      <c r="B54" s="1">
        <v>53</v>
      </c>
      <c r="C54" s="1" t="s">
        <v>12</v>
      </c>
      <c r="D54" s="1" t="s">
        <v>39</v>
      </c>
      <c r="E54" s="1" t="s">
        <v>49</v>
      </c>
      <c r="F54" s="1">
        <v>85000</v>
      </c>
      <c r="G54" s="1" t="s">
        <v>165</v>
      </c>
      <c r="H54" s="1" t="s">
        <v>165</v>
      </c>
      <c r="I54" s="1"/>
      <c r="J54" s="1"/>
      <c r="K54" s="1" t="s">
        <v>166</v>
      </c>
      <c r="L54" s="1" t="s">
        <v>167</v>
      </c>
      <c r="M54" s="1" t="s">
        <v>174</v>
      </c>
      <c r="N54" s="1" t="s">
        <v>21</v>
      </c>
      <c r="O54" s="1" t="s">
        <v>169</v>
      </c>
      <c r="P54" s="1" t="s">
        <v>15</v>
      </c>
      <c r="Q54" s="1" t="s">
        <v>165</v>
      </c>
      <c r="R54" s="1" t="s">
        <v>170</v>
      </c>
      <c r="S54" s="1" t="s">
        <v>171</v>
      </c>
      <c r="T54" s="1"/>
      <c r="U54" s="1"/>
      <c r="V54" s="1"/>
      <c r="W54" s="1"/>
    </row>
    <row r="55" ht="12.75" customHeight="1" spans="1:23">
      <c r="A55" s="1" t="s">
        <v>228</v>
      </c>
      <c r="B55" s="1">
        <v>54</v>
      </c>
      <c r="C55" s="1" t="s">
        <v>16</v>
      </c>
      <c r="D55" s="1" t="s">
        <v>173</v>
      </c>
      <c r="E55" s="1" t="s">
        <v>17</v>
      </c>
      <c r="F55" s="1">
        <v>47867</v>
      </c>
      <c r="G55" s="1" t="s">
        <v>165</v>
      </c>
      <c r="H55" s="1" t="s">
        <v>165</v>
      </c>
      <c r="I55" s="1"/>
      <c r="J55" s="1"/>
      <c r="K55" s="1" t="s">
        <v>166</v>
      </c>
      <c r="L55" s="1" t="s">
        <v>167</v>
      </c>
      <c r="M55" s="1" t="s">
        <v>174</v>
      </c>
      <c r="N55" s="1" t="s">
        <v>21</v>
      </c>
      <c r="O55" s="1" t="s">
        <v>169</v>
      </c>
      <c r="P55" s="1" t="s">
        <v>15</v>
      </c>
      <c r="Q55" s="1" t="s">
        <v>165</v>
      </c>
      <c r="R55" s="1" t="s">
        <v>170</v>
      </c>
      <c r="S55" s="1" t="s">
        <v>171</v>
      </c>
      <c r="T55" s="1"/>
      <c r="U55" s="1"/>
      <c r="V55" s="1"/>
      <c r="W55" s="1"/>
    </row>
    <row r="56" ht="12.75" customHeight="1" spans="1:23">
      <c r="A56" s="1" t="s">
        <v>229</v>
      </c>
      <c r="B56" s="1">
        <v>55</v>
      </c>
      <c r="C56" s="1" t="s">
        <v>12</v>
      </c>
      <c r="D56" s="1" t="s">
        <v>39</v>
      </c>
      <c r="E56" s="1" t="s">
        <v>50</v>
      </c>
      <c r="F56" s="1">
        <v>67467</v>
      </c>
      <c r="G56" s="1" t="s">
        <v>165</v>
      </c>
      <c r="H56" s="1" t="s">
        <v>165</v>
      </c>
      <c r="I56" s="1"/>
      <c r="J56" s="1"/>
      <c r="K56" s="1" t="s">
        <v>166</v>
      </c>
      <c r="L56" s="1" t="s">
        <v>167</v>
      </c>
      <c r="M56" s="1" t="s">
        <v>174</v>
      </c>
      <c r="N56" s="1" t="s">
        <v>21</v>
      </c>
      <c r="O56" s="1" t="s">
        <v>169</v>
      </c>
      <c r="P56" s="1" t="s">
        <v>15</v>
      </c>
      <c r="Q56" s="1" t="s">
        <v>165</v>
      </c>
      <c r="R56" s="1" t="s">
        <v>170</v>
      </c>
      <c r="S56" s="1" t="s">
        <v>171</v>
      </c>
      <c r="T56" s="1"/>
      <c r="U56" s="1"/>
      <c r="V56" s="1"/>
      <c r="W56" s="1"/>
    </row>
    <row r="57" ht="12.75" customHeight="1" spans="1:23">
      <c r="A57" s="1" t="s">
        <v>230</v>
      </c>
      <c r="B57" s="1">
        <v>56</v>
      </c>
      <c r="C57" s="1" t="s">
        <v>16</v>
      </c>
      <c r="D57" s="1" t="s">
        <v>173</v>
      </c>
      <c r="E57" s="1" t="s">
        <v>22</v>
      </c>
      <c r="F57" s="1">
        <v>28800</v>
      </c>
      <c r="G57" s="1" t="s">
        <v>165</v>
      </c>
      <c r="H57" s="1" t="s">
        <v>165</v>
      </c>
      <c r="I57" s="1"/>
      <c r="J57" s="1"/>
      <c r="K57" s="1" t="s">
        <v>166</v>
      </c>
      <c r="L57" s="1" t="s">
        <v>167</v>
      </c>
      <c r="M57" s="1" t="s">
        <v>174</v>
      </c>
      <c r="N57" s="1" t="s">
        <v>21</v>
      </c>
      <c r="O57" s="1" t="s">
        <v>169</v>
      </c>
      <c r="P57" s="1" t="s">
        <v>15</v>
      </c>
      <c r="Q57" s="1" t="s">
        <v>165</v>
      </c>
      <c r="R57" s="1" t="s">
        <v>170</v>
      </c>
      <c r="S57" s="1" t="s">
        <v>171</v>
      </c>
      <c r="T57" s="1"/>
      <c r="U57" s="1"/>
      <c r="V57" s="1"/>
      <c r="W57" s="1"/>
    </row>
    <row r="58" ht="12.75" customHeight="1" spans="1:23">
      <c r="A58" s="1" t="s">
        <v>231</v>
      </c>
      <c r="B58" s="1">
        <v>57</v>
      </c>
      <c r="C58" s="1" t="s">
        <v>12</v>
      </c>
      <c r="D58" s="1" t="s">
        <v>39</v>
      </c>
      <c r="E58" s="1" t="s">
        <v>51</v>
      </c>
      <c r="F58" s="1">
        <v>70267</v>
      </c>
      <c r="G58" s="1" t="s">
        <v>165</v>
      </c>
      <c r="H58" s="1" t="s">
        <v>165</v>
      </c>
      <c r="I58" s="1"/>
      <c r="J58" s="1"/>
      <c r="K58" s="1" t="s">
        <v>166</v>
      </c>
      <c r="L58" s="1" t="s">
        <v>167</v>
      </c>
      <c r="M58" s="1" t="s">
        <v>174</v>
      </c>
      <c r="N58" s="1" t="s">
        <v>21</v>
      </c>
      <c r="O58" s="1" t="s">
        <v>169</v>
      </c>
      <c r="P58" s="1" t="s">
        <v>15</v>
      </c>
      <c r="Q58" s="1" t="s">
        <v>165</v>
      </c>
      <c r="R58" s="1" t="s">
        <v>170</v>
      </c>
      <c r="S58" s="1" t="s">
        <v>171</v>
      </c>
      <c r="T58" s="1"/>
      <c r="U58" s="1"/>
      <c r="V58" s="1"/>
      <c r="W58" s="1"/>
    </row>
    <row r="59" ht="12.75" customHeight="1" spans="1:23">
      <c r="A59" s="1" t="s">
        <v>232</v>
      </c>
      <c r="B59" s="1">
        <v>58</v>
      </c>
      <c r="C59" s="1" t="s">
        <v>16</v>
      </c>
      <c r="D59" s="1" t="s">
        <v>173</v>
      </c>
      <c r="E59" s="1" t="s">
        <v>17</v>
      </c>
      <c r="F59" s="1">
        <v>29067</v>
      </c>
      <c r="G59" s="1" t="s">
        <v>165</v>
      </c>
      <c r="H59" s="1" t="s">
        <v>165</v>
      </c>
      <c r="I59" s="1"/>
      <c r="J59" s="1"/>
      <c r="K59" s="1" t="s">
        <v>166</v>
      </c>
      <c r="L59" s="1" t="s">
        <v>167</v>
      </c>
      <c r="M59" s="1" t="s">
        <v>174</v>
      </c>
      <c r="N59" s="1" t="s">
        <v>21</v>
      </c>
      <c r="O59" s="1" t="s">
        <v>169</v>
      </c>
      <c r="P59" s="1" t="s">
        <v>15</v>
      </c>
      <c r="Q59" s="1" t="s">
        <v>165</v>
      </c>
      <c r="R59" s="1" t="s">
        <v>170</v>
      </c>
      <c r="S59" s="1" t="s">
        <v>171</v>
      </c>
      <c r="T59" s="1"/>
      <c r="U59" s="1"/>
      <c r="V59" s="1"/>
      <c r="W59" s="1"/>
    </row>
    <row r="60" ht="12.75" customHeight="1" spans="1:23">
      <c r="A60" s="1" t="s">
        <v>233</v>
      </c>
      <c r="B60" s="1">
        <v>59</v>
      </c>
      <c r="C60" s="1" t="s">
        <v>12</v>
      </c>
      <c r="D60" s="1" t="s">
        <v>39</v>
      </c>
      <c r="E60" s="1" t="s">
        <v>52</v>
      </c>
      <c r="F60" s="1">
        <v>189067</v>
      </c>
      <c r="G60" s="1" t="s">
        <v>165</v>
      </c>
      <c r="H60" s="1" t="s">
        <v>165</v>
      </c>
      <c r="I60" s="1"/>
      <c r="J60" s="1"/>
      <c r="K60" s="1" t="s">
        <v>166</v>
      </c>
      <c r="L60" s="1" t="s">
        <v>167</v>
      </c>
      <c r="M60" s="1" t="s">
        <v>174</v>
      </c>
      <c r="N60" s="1" t="s">
        <v>21</v>
      </c>
      <c r="O60" s="1" t="s">
        <v>169</v>
      </c>
      <c r="P60" s="1" t="s">
        <v>15</v>
      </c>
      <c r="Q60" s="1" t="s">
        <v>165</v>
      </c>
      <c r="R60" s="1" t="s">
        <v>170</v>
      </c>
      <c r="S60" s="1" t="s">
        <v>171</v>
      </c>
      <c r="T60" s="1"/>
      <c r="U60" s="1"/>
      <c r="V60" s="1"/>
      <c r="W60" s="1"/>
    </row>
    <row r="61" ht="12.75" customHeight="1" spans="1:23">
      <c r="A61" s="1" t="s">
        <v>234</v>
      </c>
      <c r="B61" s="1">
        <v>60</v>
      </c>
      <c r="C61" s="1" t="s">
        <v>16</v>
      </c>
      <c r="D61" s="1" t="s">
        <v>173</v>
      </c>
      <c r="E61" s="1" t="s">
        <v>17</v>
      </c>
      <c r="F61" s="1">
        <v>28933</v>
      </c>
      <c r="G61" s="1" t="s">
        <v>165</v>
      </c>
      <c r="H61" s="1" t="s">
        <v>165</v>
      </c>
      <c r="I61" s="1"/>
      <c r="J61" s="1"/>
      <c r="K61" s="1" t="s">
        <v>166</v>
      </c>
      <c r="L61" s="1" t="s">
        <v>167</v>
      </c>
      <c r="M61" s="1" t="s">
        <v>174</v>
      </c>
      <c r="N61" s="1" t="s">
        <v>21</v>
      </c>
      <c r="O61" s="1" t="s">
        <v>169</v>
      </c>
      <c r="P61" s="1" t="s">
        <v>15</v>
      </c>
      <c r="Q61" s="1" t="s">
        <v>165</v>
      </c>
      <c r="R61" s="1" t="s">
        <v>170</v>
      </c>
      <c r="S61" s="1" t="s">
        <v>171</v>
      </c>
      <c r="T61" s="1"/>
      <c r="U61" s="1"/>
      <c r="V61" s="1"/>
      <c r="W61" s="1"/>
    </row>
    <row r="62" ht="12.75" customHeight="1" spans="1:23">
      <c r="A62" s="1" t="s">
        <v>235</v>
      </c>
      <c r="B62" s="1">
        <v>61</v>
      </c>
      <c r="C62" s="1" t="s">
        <v>12</v>
      </c>
      <c r="D62" s="1" t="s">
        <v>39</v>
      </c>
      <c r="E62" s="1" t="s">
        <v>53</v>
      </c>
      <c r="F62" s="1">
        <v>56767</v>
      </c>
      <c r="G62" s="1" t="s">
        <v>165</v>
      </c>
      <c r="H62" s="1" t="s">
        <v>165</v>
      </c>
      <c r="I62" s="1"/>
      <c r="J62" s="1"/>
      <c r="K62" s="1" t="s">
        <v>166</v>
      </c>
      <c r="L62" s="1" t="s">
        <v>167</v>
      </c>
      <c r="M62" s="1" t="s">
        <v>174</v>
      </c>
      <c r="N62" s="1" t="s">
        <v>21</v>
      </c>
      <c r="O62" s="1" t="s">
        <v>169</v>
      </c>
      <c r="P62" s="1" t="s">
        <v>15</v>
      </c>
      <c r="Q62" s="1" t="s">
        <v>165</v>
      </c>
      <c r="R62" s="1" t="s">
        <v>170</v>
      </c>
      <c r="S62" s="1" t="s">
        <v>171</v>
      </c>
      <c r="T62" s="1"/>
      <c r="U62" s="1"/>
      <c r="V62" s="1"/>
      <c r="W62" s="1"/>
    </row>
    <row r="63" ht="12.75" customHeight="1" spans="1:23">
      <c r="A63" s="1" t="s">
        <v>236</v>
      </c>
      <c r="B63" s="1">
        <v>62</v>
      </c>
      <c r="C63" s="1" t="s">
        <v>16</v>
      </c>
      <c r="D63" s="1" t="s">
        <v>173</v>
      </c>
      <c r="E63" s="1" t="s">
        <v>17</v>
      </c>
      <c r="F63" s="1">
        <v>21900</v>
      </c>
      <c r="G63" s="1" t="s">
        <v>165</v>
      </c>
      <c r="H63" s="1" t="s">
        <v>165</v>
      </c>
      <c r="I63" s="1"/>
      <c r="J63" s="1"/>
      <c r="K63" s="1" t="s">
        <v>166</v>
      </c>
      <c r="L63" s="1" t="s">
        <v>167</v>
      </c>
      <c r="M63" s="1" t="s">
        <v>174</v>
      </c>
      <c r="N63" s="1" t="s">
        <v>21</v>
      </c>
      <c r="O63" s="1" t="s">
        <v>169</v>
      </c>
      <c r="P63" s="1" t="s">
        <v>15</v>
      </c>
      <c r="Q63" s="1" t="s">
        <v>165</v>
      </c>
      <c r="R63" s="1" t="s">
        <v>170</v>
      </c>
      <c r="S63" s="1" t="s">
        <v>171</v>
      </c>
      <c r="T63" s="1"/>
      <c r="U63" s="1"/>
      <c r="V63" s="1"/>
      <c r="W63" s="1"/>
    </row>
    <row r="64" ht="12.75" customHeight="1" spans="1:23">
      <c r="A64" s="1" t="s">
        <v>237</v>
      </c>
      <c r="B64" s="1">
        <v>63</v>
      </c>
      <c r="C64" s="1" t="s">
        <v>12</v>
      </c>
      <c r="D64" s="1" t="s">
        <v>39</v>
      </c>
      <c r="E64" s="1" t="s">
        <v>54</v>
      </c>
      <c r="F64" s="1">
        <v>81900</v>
      </c>
      <c r="G64" s="1" t="s">
        <v>165</v>
      </c>
      <c r="H64" s="1" t="s">
        <v>165</v>
      </c>
      <c r="I64" s="1"/>
      <c r="J64" s="1"/>
      <c r="K64" s="1" t="s">
        <v>166</v>
      </c>
      <c r="L64" s="1" t="s">
        <v>167</v>
      </c>
      <c r="M64" s="1" t="s">
        <v>174</v>
      </c>
      <c r="N64" s="1" t="s">
        <v>21</v>
      </c>
      <c r="O64" s="1" t="s">
        <v>169</v>
      </c>
      <c r="P64" s="1" t="s">
        <v>15</v>
      </c>
      <c r="Q64" s="1" t="s">
        <v>165</v>
      </c>
      <c r="R64" s="1" t="s">
        <v>170</v>
      </c>
      <c r="S64" s="1" t="s">
        <v>171</v>
      </c>
      <c r="T64" s="1"/>
      <c r="U64" s="1"/>
      <c r="V64" s="1"/>
      <c r="W64" s="1"/>
    </row>
    <row r="65" ht="12.75" customHeight="1" spans="1:23">
      <c r="A65" s="1" t="s">
        <v>238</v>
      </c>
      <c r="B65" s="1">
        <v>64</v>
      </c>
      <c r="C65" s="1" t="s">
        <v>16</v>
      </c>
      <c r="D65" s="1" t="s">
        <v>173</v>
      </c>
      <c r="E65" s="1" t="s">
        <v>17</v>
      </c>
      <c r="F65" s="1">
        <v>47233</v>
      </c>
      <c r="G65" s="1" t="s">
        <v>165</v>
      </c>
      <c r="H65" s="1" t="s">
        <v>165</v>
      </c>
      <c r="I65" s="1"/>
      <c r="J65" s="1"/>
      <c r="K65" s="1" t="s">
        <v>166</v>
      </c>
      <c r="L65" s="1" t="s">
        <v>167</v>
      </c>
      <c r="M65" s="1" t="s">
        <v>174</v>
      </c>
      <c r="N65" s="1" t="s">
        <v>21</v>
      </c>
      <c r="O65" s="1" t="s">
        <v>169</v>
      </c>
      <c r="P65" s="1" t="s">
        <v>15</v>
      </c>
      <c r="Q65" s="1" t="s">
        <v>165</v>
      </c>
      <c r="R65" s="1" t="s">
        <v>170</v>
      </c>
      <c r="S65" s="1" t="s">
        <v>171</v>
      </c>
      <c r="T65" s="1"/>
      <c r="U65" s="1"/>
      <c r="V65" s="1"/>
      <c r="W65" s="1"/>
    </row>
    <row r="66" ht="12.75" customHeight="1" spans="1:23">
      <c r="A66" s="1" t="s">
        <v>239</v>
      </c>
      <c r="B66" s="1">
        <v>65</v>
      </c>
      <c r="C66" s="1" t="s">
        <v>12</v>
      </c>
      <c r="D66" s="1" t="s">
        <v>39</v>
      </c>
      <c r="E66" s="1" t="s">
        <v>55</v>
      </c>
      <c r="F66" s="1">
        <v>67933</v>
      </c>
      <c r="G66" s="1" t="s">
        <v>165</v>
      </c>
      <c r="H66" s="1" t="s">
        <v>165</v>
      </c>
      <c r="I66" s="1"/>
      <c r="J66" s="1"/>
      <c r="K66" s="1" t="s">
        <v>166</v>
      </c>
      <c r="L66" s="1" t="s">
        <v>167</v>
      </c>
      <c r="M66" s="1" t="s">
        <v>174</v>
      </c>
      <c r="N66" s="1" t="s">
        <v>21</v>
      </c>
      <c r="O66" s="1" t="s">
        <v>169</v>
      </c>
      <c r="P66" s="1" t="s">
        <v>15</v>
      </c>
      <c r="Q66" s="1" t="s">
        <v>165</v>
      </c>
      <c r="R66" s="1" t="s">
        <v>170</v>
      </c>
      <c r="S66" s="1" t="s">
        <v>171</v>
      </c>
      <c r="T66" s="1"/>
      <c r="U66" s="1"/>
      <c r="V66" s="1"/>
      <c r="W66" s="1"/>
    </row>
    <row r="67" ht="12.75" customHeight="1" spans="1:23">
      <c r="A67" s="1" t="s">
        <v>240</v>
      </c>
      <c r="B67" s="1">
        <v>66</v>
      </c>
      <c r="C67" s="1" t="s">
        <v>16</v>
      </c>
      <c r="D67" s="1" t="s">
        <v>173</v>
      </c>
      <c r="E67" s="1" t="s">
        <v>17</v>
      </c>
      <c r="F67" s="1">
        <v>28100</v>
      </c>
      <c r="G67" s="1" t="s">
        <v>165</v>
      </c>
      <c r="H67" s="1" t="s">
        <v>165</v>
      </c>
      <c r="I67" s="1"/>
      <c r="J67" s="1"/>
      <c r="K67" s="1" t="s">
        <v>166</v>
      </c>
      <c r="L67" s="1" t="s">
        <v>167</v>
      </c>
      <c r="M67" s="1" t="s">
        <v>174</v>
      </c>
      <c r="N67" s="1" t="s">
        <v>21</v>
      </c>
      <c r="O67" s="1" t="s">
        <v>169</v>
      </c>
      <c r="P67" s="1" t="s">
        <v>15</v>
      </c>
      <c r="Q67" s="1" t="s">
        <v>165</v>
      </c>
      <c r="R67" s="1" t="s">
        <v>170</v>
      </c>
      <c r="S67" s="1" t="s">
        <v>171</v>
      </c>
      <c r="T67" s="1"/>
      <c r="U67" s="1"/>
      <c r="V67" s="1"/>
      <c r="W67" s="1"/>
    </row>
    <row r="68" ht="12.75" customHeight="1" spans="1:23">
      <c r="A68" s="1" t="s">
        <v>241</v>
      </c>
      <c r="B68" s="1">
        <v>67</v>
      </c>
      <c r="C68" s="1" t="s">
        <v>12</v>
      </c>
      <c r="D68" s="1" t="s">
        <v>39</v>
      </c>
      <c r="E68" s="1" t="s">
        <v>56</v>
      </c>
      <c r="F68" s="1">
        <v>56833</v>
      </c>
      <c r="G68" s="1" t="s">
        <v>165</v>
      </c>
      <c r="H68" s="1" t="s">
        <v>165</v>
      </c>
      <c r="I68" s="1"/>
      <c r="J68" s="1"/>
      <c r="K68" s="1" t="s">
        <v>166</v>
      </c>
      <c r="L68" s="1" t="s">
        <v>167</v>
      </c>
      <c r="M68" s="1" t="s">
        <v>174</v>
      </c>
      <c r="N68" s="1" t="s">
        <v>21</v>
      </c>
      <c r="O68" s="1" t="s">
        <v>169</v>
      </c>
      <c r="P68" s="1" t="s">
        <v>15</v>
      </c>
      <c r="Q68" s="1" t="s">
        <v>165</v>
      </c>
      <c r="R68" s="1" t="s">
        <v>170</v>
      </c>
      <c r="S68" s="1" t="s">
        <v>171</v>
      </c>
      <c r="T68" s="1"/>
      <c r="U68" s="1"/>
      <c r="V68" s="1"/>
      <c r="W68" s="1"/>
    </row>
    <row r="69" ht="12.75" customHeight="1" spans="1:23">
      <c r="A69" s="1" t="s">
        <v>242</v>
      </c>
      <c r="B69" s="1">
        <v>68</v>
      </c>
      <c r="C69" s="1" t="s">
        <v>16</v>
      </c>
      <c r="D69" s="1" t="s">
        <v>173</v>
      </c>
      <c r="E69" s="1" t="s">
        <v>17</v>
      </c>
      <c r="F69" s="1">
        <v>22033</v>
      </c>
      <c r="G69" s="1" t="s">
        <v>165</v>
      </c>
      <c r="H69" s="1" t="s">
        <v>165</v>
      </c>
      <c r="I69" s="1"/>
      <c r="J69" s="1"/>
      <c r="K69" s="1" t="s">
        <v>166</v>
      </c>
      <c r="L69" s="1" t="s">
        <v>167</v>
      </c>
      <c r="M69" s="1" t="s">
        <v>174</v>
      </c>
      <c r="N69" s="1" t="s">
        <v>21</v>
      </c>
      <c r="O69" s="1" t="s">
        <v>169</v>
      </c>
      <c r="P69" s="1" t="s">
        <v>15</v>
      </c>
      <c r="Q69" s="1" t="s">
        <v>165</v>
      </c>
      <c r="R69" s="1" t="s">
        <v>170</v>
      </c>
      <c r="S69" s="1" t="s">
        <v>171</v>
      </c>
      <c r="T69" s="1"/>
      <c r="U69" s="1"/>
      <c r="V69" s="1"/>
      <c r="W69" s="1"/>
    </row>
    <row r="70" ht="12.75" customHeight="1" spans="1:23">
      <c r="A70" s="1" t="s">
        <v>243</v>
      </c>
      <c r="B70" s="1">
        <v>69</v>
      </c>
      <c r="C70" s="1" t="s">
        <v>12</v>
      </c>
      <c r="D70" s="1" t="s">
        <v>39</v>
      </c>
      <c r="E70" s="1" t="s">
        <v>57</v>
      </c>
      <c r="F70" s="1">
        <v>120900</v>
      </c>
      <c r="G70" s="1" t="s">
        <v>165</v>
      </c>
      <c r="H70" s="1" t="s">
        <v>165</v>
      </c>
      <c r="I70" s="1"/>
      <c r="J70" s="1"/>
      <c r="K70" s="1" t="s">
        <v>166</v>
      </c>
      <c r="L70" s="1" t="s">
        <v>167</v>
      </c>
      <c r="M70" s="1" t="s">
        <v>174</v>
      </c>
      <c r="N70" s="1" t="s">
        <v>21</v>
      </c>
      <c r="O70" s="1" t="s">
        <v>169</v>
      </c>
      <c r="P70" s="1" t="s">
        <v>15</v>
      </c>
      <c r="Q70" s="1" t="s">
        <v>165</v>
      </c>
      <c r="R70" s="1" t="s">
        <v>170</v>
      </c>
      <c r="S70" s="1" t="s">
        <v>171</v>
      </c>
      <c r="T70" s="1"/>
      <c r="U70" s="1"/>
      <c r="V70" s="1"/>
      <c r="W70" s="1"/>
    </row>
    <row r="71" ht="12.75" customHeight="1" spans="1:23">
      <c r="A71" s="1" t="s">
        <v>244</v>
      </c>
      <c r="B71" s="1">
        <v>70</v>
      </c>
      <c r="C71" s="1" t="s">
        <v>16</v>
      </c>
      <c r="D71" s="1" t="s">
        <v>173</v>
      </c>
      <c r="E71" s="1" t="s">
        <v>22</v>
      </c>
      <c r="F71" s="1">
        <v>71233</v>
      </c>
      <c r="G71" s="1" t="s">
        <v>165</v>
      </c>
      <c r="H71" s="1" t="s">
        <v>165</v>
      </c>
      <c r="I71" s="1"/>
      <c r="J71" s="1"/>
      <c r="K71" s="1" t="s">
        <v>166</v>
      </c>
      <c r="L71" s="1" t="s">
        <v>167</v>
      </c>
      <c r="M71" s="1" t="s">
        <v>174</v>
      </c>
      <c r="N71" s="1" t="s">
        <v>21</v>
      </c>
      <c r="O71" s="1" t="s">
        <v>169</v>
      </c>
      <c r="P71" s="1" t="s">
        <v>15</v>
      </c>
      <c r="Q71" s="1" t="s">
        <v>165</v>
      </c>
      <c r="R71" s="1" t="s">
        <v>170</v>
      </c>
      <c r="S71" s="1" t="s">
        <v>171</v>
      </c>
      <c r="T71" s="1"/>
      <c r="U71" s="1"/>
      <c r="V71" s="1"/>
      <c r="W71" s="1"/>
    </row>
    <row r="72" ht="12.75" customHeight="1" spans="1:23">
      <c r="A72" s="1" t="s">
        <v>245</v>
      </c>
      <c r="B72" s="1">
        <v>71</v>
      </c>
      <c r="C72" s="1" t="s">
        <v>12</v>
      </c>
      <c r="D72" s="1" t="s">
        <v>39</v>
      </c>
      <c r="E72" s="1" t="s">
        <v>58</v>
      </c>
      <c r="F72" s="1">
        <v>74300</v>
      </c>
      <c r="G72" s="1" t="s">
        <v>165</v>
      </c>
      <c r="H72" s="1" t="s">
        <v>165</v>
      </c>
      <c r="I72" s="1"/>
      <c r="J72" s="1"/>
      <c r="K72" s="1" t="s">
        <v>166</v>
      </c>
      <c r="L72" s="1" t="s">
        <v>167</v>
      </c>
      <c r="M72" s="1" t="s">
        <v>174</v>
      </c>
      <c r="N72" s="1" t="s">
        <v>21</v>
      </c>
      <c r="O72" s="1" t="s">
        <v>169</v>
      </c>
      <c r="P72" s="1" t="s">
        <v>15</v>
      </c>
      <c r="Q72" s="1" t="s">
        <v>165</v>
      </c>
      <c r="R72" s="1" t="s">
        <v>170</v>
      </c>
      <c r="S72" s="1" t="s">
        <v>171</v>
      </c>
      <c r="T72" s="1"/>
      <c r="U72" s="1"/>
      <c r="V72" s="1"/>
      <c r="W72" s="1"/>
    </row>
    <row r="73" ht="12.75" customHeight="1" spans="1:23">
      <c r="A73" s="1" t="s">
        <v>246</v>
      </c>
      <c r="B73" s="1">
        <v>72</v>
      </c>
      <c r="C73" s="1" t="s">
        <v>16</v>
      </c>
      <c r="D73" s="1" t="s">
        <v>173</v>
      </c>
      <c r="E73" s="1" t="s">
        <v>22</v>
      </c>
      <c r="F73" s="1">
        <v>32300</v>
      </c>
      <c r="G73" s="1" t="s">
        <v>165</v>
      </c>
      <c r="H73" s="1" t="s">
        <v>165</v>
      </c>
      <c r="I73" s="1"/>
      <c r="J73" s="1"/>
      <c r="K73" s="1" t="s">
        <v>166</v>
      </c>
      <c r="L73" s="1" t="s">
        <v>167</v>
      </c>
      <c r="M73" s="1" t="s">
        <v>174</v>
      </c>
      <c r="N73" s="1" t="s">
        <v>21</v>
      </c>
      <c r="O73" s="1" t="s">
        <v>169</v>
      </c>
      <c r="P73" s="1" t="s">
        <v>15</v>
      </c>
      <c r="Q73" s="1" t="s">
        <v>165</v>
      </c>
      <c r="R73" s="1" t="s">
        <v>170</v>
      </c>
      <c r="S73" s="1" t="s">
        <v>171</v>
      </c>
      <c r="T73" s="1"/>
      <c r="U73" s="1"/>
      <c r="V73" s="1"/>
      <c r="W73" s="1"/>
    </row>
    <row r="74" ht="12.75" customHeight="1" spans="1:23">
      <c r="A74" s="1" t="s">
        <v>247</v>
      </c>
      <c r="B74" s="1">
        <v>73</v>
      </c>
      <c r="C74" s="1" t="s">
        <v>12</v>
      </c>
      <c r="D74" s="1" t="s">
        <v>39</v>
      </c>
      <c r="E74" s="1" t="s">
        <v>59</v>
      </c>
      <c r="F74" s="1">
        <v>107700</v>
      </c>
      <c r="G74" s="1" t="s">
        <v>165</v>
      </c>
      <c r="H74" s="1" t="s">
        <v>165</v>
      </c>
      <c r="I74" s="1"/>
      <c r="J74" s="1"/>
      <c r="K74" s="1" t="s">
        <v>166</v>
      </c>
      <c r="L74" s="1" t="s">
        <v>167</v>
      </c>
      <c r="M74" s="1" t="s">
        <v>174</v>
      </c>
      <c r="N74" s="1" t="s">
        <v>21</v>
      </c>
      <c r="O74" s="1" t="s">
        <v>169</v>
      </c>
      <c r="P74" s="1" t="s">
        <v>15</v>
      </c>
      <c r="Q74" s="1" t="s">
        <v>165</v>
      </c>
      <c r="R74" s="1" t="s">
        <v>170</v>
      </c>
      <c r="S74" s="1" t="s">
        <v>171</v>
      </c>
      <c r="T74" s="1"/>
      <c r="U74" s="1"/>
      <c r="V74" s="1"/>
      <c r="W74" s="1"/>
    </row>
    <row r="75" ht="12.75" customHeight="1" spans="1:23">
      <c r="A75" s="1" t="s">
        <v>248</v>
      </c>
      <c r="B75" s="1">
        <v>74</v>
      </c>
      <c r="C75" s="1" t="s">
        <v>16</v>
      </c>
      <c r="D75" s="1" t="s">
        <v>173</v>
      </c>
      <c r="E75" s="1" t="s">
        <v>17</v>
      </c>
      <c r="F75" s="1">
        <v>44867</v>
      </c>
      <c r="G75" s="1" t="s">
        <v>165</v>
      </c>
      <c r="H75" s="1" t="s">
        <v>165</v>
      </c>
      <c r="I75" s="1"/>
      <c r="J75" s="1"/>
      <c r="K75" s="1" t="s">
        <v>166</v>
      </c>
      <c r="L75" s="1" t="s">
        <v>167</v>
      </c>
      <c r="M75" s="1" t="s">
        <v>174</v>
      </c>
      <c r="N75" s="1" t="s">
        <v>21</v>
      </c>
      <c r="O75" s="1" t="s">
        <v>169</v>
      </c>
      <c r="P75" s="1" t="s">
        <v>15</v>
      </c>
      <c r="Q75" s="1" t="s">
        <v>165</v>
      </c>
      <c r="R75" s="1" t="s">
        <v>170</v>
      </c>
      <c r="S75" s="1" t="s">
        <v>171</v>
      </c>
      <c r="T75" s="1"/>
      <c r="U75" s="1"/>
      <c r="V75" s="1"/>
      <c r="W75" s="1"/>
    </row>
    <row r="76" ht="12.75" customHeight="1" spans="1:23">
      <c r="A76" s="1" t="s">
        <v>249</v>
      </c>
      <c r="B76" s="1">
        <v>75</v>
      </c>
      <c r="C76" s="1" t="s">
        <v>12</v>
      </c>
      <c r="D76" s="1" t="s">
        <v>39</v>
      </c>
      <c r="E76" s="1" t="s">
        <v>60</v>
      </c>
      <c r="F76" s="1">
        <v>72700</v>
      </c>
      <c r="G76" s="1" t="s">
        <v>165</v>
      </c>
      <c r="H76" s="1" t="s">
        <v>165</v>
      </c>
      <c r="I76" s="1"/>
      <c r="J76" s="1"/>
      <c r="K76" s="1" t="s">
        <v>166</v>
      </c>
      <c r="L76" s="1" t="s">
        <v>167</v>
      </c>
      <c r="M76" s="1" t="s">
        <v>174</v>
      </c>
      <c r="N76" s="1" t="s">
        <v>21</v>
      </c>
      <c r="O76" s="1" t="s">
        <v>169</v>
      </c>
      <c r="P76" s="1" t="s">
        <v>15</v>
      </c>
      <c r="Q76" s="1" t="s">
        <v>165</v>
      </c>
      <c r="R76" s="1" t="s">
        <v>170</v>
      </c>
      <c r="S76" s="1" t="s">
        <v>171</v>
      </c>
      <c r="T76" s="1"/>
      <c r="U76" s="1"/>
      <c r="V76" s="1"/>
      <c r="W76" s="1"/>
    </row>
    <row r="77" ht="12.75" customHeight="1" spans="1:23">
      <c r="A77" s="1" t="s">
        <v>250</v>
      </c>
      <c r="B77" s="1">
        <v>76</v>
      </c>
      <c r="C77" s="1" t="s">
        <v>16</v>
      </c>
      <c r="D77" s="1" t="s">
        <v>173</v>
      </c>
      <c r="E77" s="1" t="s">
        <v>17</v>
      </c>
      <c r="F77" s="1">
        <v>30400</v>
      </c>
      <c r="G77" s="1" t="s">
        <v>165</v>
      </c>
      <c r="H77" s="1" t="s">
        <v>165</v>
      </c>
      <c r="I77" s="1"/>
      <c r="J77" s="1"/>
      <c r="K77" s="1" t="s">
        <v>166</v>
      </c>
      <c r="L77" s="1" t="s">
        <v>167</v>
      </c>
      <c r="M77" s="1" t="s">
        <v>174</v>
      </c>
      <c r="N77" s="1" t="s">
        <v>21</v>
      </c>
      <c r="O77" s="1" t="s">
        <v>169</v>
      </c>
      <c r="P77" s="1" t="s">
        <v>15</v>
      </c>
      <c r="Q77" s="1" t="s">
        <v>165</v>
      </c>
      <c r="R77" s="1" t="s">
        <v>170</v>
      </c>
      <c r="S77" s="1" t="s">
        <v>171</v>
      </c>
      <c r="T77" s="1"/>
      <c r="U77" s="1"/>
      <c r="V77" s="1"/>
      <c r="W77" s="1"/>
    </row>
    <row r="78" ht="12.75" customHeight="1" spans="1:23">
      <c r="A78" s="1" t="s">
        <v>251</v>
      </c>
      <c r="B78" s="1">
        <v>77</v>
      </c>
      <c r="C78" s="1" t="s">
        <v>12</v>
      </c>
      <c r="D78" s="1" t="s">
        <v>39</v>
      </c>
      <c r="E78" s="1" t="s">
        <v>61</v>
      </c>
      <c r="F78" s="1">
        <v>132900</v>
      </c>
      <c r="G78" s="1" t="s">
        <v>165</v>
      </c>
      <c r="H78" s="1" t="s">
        <v>165</v>
      </c>
      <c r="I78" s="1"/>
      <c r="J78" s="1"/>
      <c r="K78" s="1" t="s">
        <v>166</v>
      </c>
      <c r="L78" s="1" t="s">
        <v>167</v>
      </c>
      <c r="M78" s="1" t="s">
        <v>174</v>
      </c>
      <c r="N78" s="1" t="s">
        <v>21</v>
      </c>
      <c r="O78" s="1" t="s">
        <v>169</v>
      </c>
      <c r="P78" s="1" t="s">
        <v>15</v>
      </c>
      <c r="Q78" s="1" t="s">
        <v>165</v>
      </c>
      <c r="R78" s="1" t="s">
        <v>170</v>
      </c>
      <c r="S78" s="1" t="s">
        <v>171</v>
      </c>
      <c r="T78" s="1"/>
      <c r="U78" s="1"/>
      <c r="V78" s="1"/>
      <c r="W78" s="1"/>
    </row>
    <row r="79" ht="12.75" customHeight="1" spans="1:23">
      <c r="A79" s="1" t="s">
        <v>252</v>
      </c>
      <c r="B79" s="1">
        <v>78</v>
      </c>
      <c r="C79" s="1" t="s">
        <v>16</v>
      </c>
      <c r="D79" s="1" t="s">
        <v>173</v>
      </c>
      <c r="E79" s="1" t="s">
        <v>17</v>
      </c>
      <c r="F79" s="1">
        <v>48600</v>
      </c>
      <c r="G79" s="1" t="s">
        <v>165</v>
      </c>
      <c r="H79" s="1" t="s">
        <v>165</v>
      </c>
      <c r="I79" s="1"/>
      <c r="J79" s="1"/>
      <c r="K79" s="1" t="s">
        <v>166</v>
      </c>
      <c r="L79" s="1" t="s">
        <v>167</v>
      </c>
      <c r="M79" s="1" t="s">
        <v>174</v>
      </c>
      <c r="N79" s="1" t="s">
        <v>21</v>
      </c>
      <c r="O79" s="1" t="s">
        <v>169</v>
      </c>
      <c r="P79" s="1" t="s">
        <v>15</v>
      </c>
      <c r="Q79" s="1" t="s">
        <v>165</v>
      </c>
      <c r="R79" s="1" t="s">
        <v>170</v>
      </c>
      <c r="S79" s="1" t="s">
        <v>171</v>
      </c>
      <c r="T79" s="1"/>
      <c r="U79" s="1"/>
      <c r="V79" s="1"/>
      <c r="W79" s="1"/>
    </row>
    <row r="80" ht="12.75" customHeight="1" spans="1:23">
      <c r="A80" s="1" t="s">
        <v>253</v>
      </c>
      <c r="B80" s="1">
        <v>79</v>
      </c>
      <c r="C80" s="1" t="s">
        <v>12</v>
      </c>
      <c r="D80" s="1" t="s">
        <v>39</v>
      </c>
      <c r="E80" s="1" t="s">
        <v>62</v>
      </c>
      <c r="F80" s="1">
        <v>199933</v>
      </c>
      <c r="G80" s="1" t="s">
        <v>165</v>
      </c>
      <c r="H80" s="1" t="s">
        <v>165</v>
      </c>
      <c r="I80" s="1"/>
      <c r="J80" s="1"/>
      <c r="K80" s="1" t="s">
        <v>166</v>
      </c>
      <c r="L80" s="1" t="s">
        <v>167</v>
      </c>
      <c r="M80" s="1" t="s">
        <v>174</v>
      </c>
      <c r="N80" s="1" t="s">
        <v>21</v>
      </c>
      <c r="O80" s="1" t="s">
        <v>169</v>
      </c>
      <c r="P80" s="1" t="s">
        <v>15</v>
      </c>
      <c r="Q80" s="1" t="s">
        <v>165</v>
      </c>
      <c r="R80" s="1" t="s">
        <v>170</v>
      </c>
      <c r="S80" s="1" t="s">
        <v>171</v>
      </c>
      <c r="T80" s="1"/>
      <c r="U80" s="1"/>
      <c r="V80" s="1"/>
      <c r="W80" s="1"/>
    </row>
    <row r="81" ht="12.75" customHeight="1" spans="1:23">
      <c r="A81" s="1" t="s">
        <v>254</v>
      </c>
      <c r="B81" s="1">
        <v>80</v>
      </c>
      <c r="C81" s="1" t="s">
        <v>16</v>
      </c>
      <c r="D81" s="1" t="s">
        <v>173</v>
      </c>
      <c r="E81" s="1" t="s">
        <v>17</v>
      </c>
      <c r="F81" s="1">
        <v>60500</v>
      </c>
      <c r="G81" s="1" t="s">
        <v>165</v>
      </c>
      <c r="H81" s="1" t="s">
        <v>165</v>
      </c>
      <c r="I81" s="1"/>
      <c r="J81" s="1"/>
      <c r="K81" s="1" t="s">
        <v>166</v>
      </c>
      <c r="L81" s="1" t="s">
        <v>167</v>
      </c>
      <c r="M81" s="1" t="s">
        <v>174</v>
      </c>
      <c r="N81" s="1" t="s">
        <v>21</v>
      </c>
      <c r="O81" s="1" t="s">
        <v>169</v>
      </c>
      <c r="P81" s="1" t="s">
        <v>15</v>
      </c>
      <c r="Q81" s="1" t="s">
        <v>165</v>
      </c>
      <c r="R81" s="1" t="s">
        <v>170</v>
      </c>
      <c r="S81" s="1" t="s">
        <v>171</v>
      </c>
      <c r="T81" s="1"/>
      <c r="U81" s="1"/>
      <c r="V81" s="1"/>
      <c r="W81" s="1"/>
    </row>
    <row r="82" ht="12.75" customHeight="1" spans="1:23">
      <c r="A82" s="1" t="s">
        <v>255</v>
      </c>
      <c r="B82" s="1">
        <v>81</v>
      </c>
      <c r="C82" s="1" t="s">
        <v>12</v>
      </c>
      <c r="D82" s="1" t="s">
        <v>39</v>
      </c>
      <c r="E82" s="1" t="s">
        <v>63</v>
      </c>
      <c r="F82" s="1">
        <v>111467</v>
      </c>
      <c r="G82" s="1" t="s">
        <v>165</v>
      </c>
      <c r="H82" s="1" t="s">
        <v>165</v>
      </c>
      <c r="I82" s="1"/>
      <c r="J82" s="1"/>
      <c r="K82" s="1" t="s">
        <v>166</v>
      </c>
      <c r="L82" s="1" t="s">
        <v>167</v>
      </c>
      <c r="M82" s="1" t="s">
        <v>168</v>
      </c>
      <c r="N82" s="1" t="s">
        <v>42</v>
      </c>
      <c r="O82" s="1" t="s">
        <v>169</v>
      </c>
      <c r="P82" s="1" t="s">
        <v>15</v>
      </c>
      <c r="Q82" s="1" t="s">
        <v>165</v>
      </c>
      <c r="R82" s="1" t="s">
        <v>170</v>
      </c>
      <c r="S82" s="1" t="s">
        <v>171</v>
      </c>
      <c r="T82" s="1"/>
      <c r="U82" s="1"/>
      <c r="V82" s="1"/>
      <c r="W82" s="1"/>
    </row>
    <row r="83" ht="12.75" customHeight="1" spans="1:23">
      <c r="A83" s="1" t="s">
        <v>256</v>
      </c>
      <c r="B83" s="1">
        <v>82</v>
      </c>
      <c r="C83" s="1" t="s">
        <v>16</v>
      </c>
      <c r="D83" s="1" t="s">
        <v>173</v>
      </c>
      <c r="E83" s="1" t="s">
        <v>22</v>
      </c>
      <c r="F83" s="1">
        <v>40700</v>
      </c>
      <c r="G83" s="1" t="s">
        <v>165</v>
      </c>
      <c r="H83" s="1" t="s">
        <v>165</v>
      </c>
      <c r="I83" s="1"/>
      <c r="J83" s="1"/>
      <c r="K83" s="1" t="s">
        <v>166</v>
      </c>
      <c r="L83" s="1" t="s">
        <v>167</v>
      </c>
      <c r="M83" s="1" t="s">
        <v>174</v>
      </c>
      <c r="N83" s="1" t="s">
        <v>21</v>
      </c>
      <c r="O83" s="1" t="s">
        <v>169</v>
      </c>
      <c r="P83" s="1" t="s">
        <v>15</v>
      </c>
      <c r="Q83" s="1" t="s">
        <v>165</v>
      </c>
      <c r="R83" s="1" t="s">
        <v>170</v>
      </c>
      <c r="S83" s="1" t="s">
        <v>171</v>
      </c>
      <c r="T83" s="1"/>
      <c r="U83" s="1"/>
      <c r="V83" s="1"/>
      <c r="W83" s="1"/>
    </row>
    <row r="84" ht="12.75" customHeight="1" spans="1:23">
      <c r="A84" s="1" t="s">
        <v>257</v>
      </c>
      <c r="B84" s="1">
        <v>83</v>
      </c>
      <c r="C84" s="1" t="s">
        <v>12</v>
      </c>
      <c r="D84" s="1" t="s">
        <v>39</v>
      </c>
      <c r="E84" s="1" t="s">
        <v>64</v>
      </c>
      <c r="F84" s="1">
        <v>108000</v>
      </c>
      <c r="G84" s="1" t="s">
        <v>165</v>
      </c>
      <c r="H84" s="1" t="s">
        <v>165</v>
      </c>
      <c r="I84" s="1"/>
      <c r="J84" s="1"/>
      <c r="K84" s="1" t="s">
        <v>166</v>
      </c>
      <c r="L84" s="1" t="s">
        <v>167</v>
      </c>
      <c r="M84" s="1" t="s">
        <v>174</v>
      </c>
      <c r="N84" s="1" t="s">
        <v>21</v>
      </c>
      <c r="O84" s="1" t="s">
        <v>169</v>
      </c>
      <c r="P84" s="1" t="s">
        <v>15</v>
      </c>
      <c r="Q84" s="1" t="s">
        <v>165</v>
      </c>
      <c r="R84" s="1" t="s">
        <v>170</v>
      </c>
      <c r="S84" s="1" t="s">
        <v>171</v>
      </c>
      <c r="T84" s="1"/>
      <c r="U84" s="1"/>
      <c r="V84" s="1"/>
      <c r="W84" s="1"/>
    </row>
    <row r="85" ht="12.75" customHeight="1" spans="1:23">
      <c r="A85" s="1" t="s">
        <v>258</v>
      </c>
      <c r="B85" s="1">
        <v>84</v>
      </c>
      <c r="C85" s="1" t="s">
        <v>16</v>
      </c>
      <c r="D85" s="1" t="s">
        <v>173</v>
      </c>
      <c r="E85" s="1" t="s">
        <v>17</v>
      </c>
      <c r="F85" s="1">
        <v>48000</v>
      </c>
      <c r="G85" s="1" t="s">
        <v>165</v>
      </c>
      <c r="H85" s="1" t="s">
        <v>165</v>
      </c>
      <c r="I85" s="1"/>
      <c r="J85" s="1"/>
      <c r="K85" s="1" t="s">
        <v>166</v>
      </c>
      <c r="L85" s="1" t="s">
        <v>167</v>
      </c>
      <c r="M85" s="1" t="s">
        <v>174</v>
      </c>
      <c r="N85" s="1" t="s">
        <v>21</v>
      </c>
      <c r="O85" s="1" t="s">
        <v>169</v>
      </c>
      <c r="P85" s="1" t="s">
        <v>15</v>
      </c>
      <c r="Q85" s="1" t="s">
        <v>165</v>
      </c>
      <c r="R85" s="1" t="s">
        <v>170</v>
      </c>
      <c r="S85" s="1" t="s">
        <v>171</v>
      </c>
      <c r="T85" s="1"/>
      <c r="U85" s="1"/>
      <c r="V85" s="1"/>
      <c r="W85" s="1"/>
    </row>
    <row r="86" ht="12.75" customHeight="1" spans="1:23">
      <c r="A86" s="1" t="s">
        <v>259</v>
      </c>
      <c r="B86" s="1">
        <v>85</v>
      </c>
      <c r="C86" s="1" t="s">
        <v>12</v>
      </c>
      <c r="D86" s="1" t="s">
        <v>39</v>
      </c>
      <c r="E86" s="1" t="s">
        <v>65</v>
      </c>
      <c r="F86" s="1">
        <v>122267</v>
      </c>
      <c r="G86" s="1" t="s">
        <v>165</v>
      </c>
      <c r="H86" s="1" t="s">
        <v>165</v>
      </c>
      <c r="I86" s="1"/>
      <c r="J86" s="1"/>
      <c r="K86" s="1" t="s">
        <v>166</v>
      </c>
      <c r="L86" s="1" t="s">
        <v>167</v>
      </c>
      <c r="M86" s="1" t="s">
        <v>174</v>
      </c>
      <c r="N86" s="1" t="s">
        <v>21</v>
      </c>
      <c r="O86" s="1" t="s">
        <v>169</v>
      </c>
      <c r="P86" s="1" t="s">
        <v>15</v>
      </c>
      <c r="Q86" s="1" t="s">
        <v>165</v>
      </c>
      <c r="R86" s="1" t="s">
        <v>170</v>
      </c>
      <c r="S86" s="1" t="s">
        <v>171</v>
      </c>
      <c r="T86" s="1"/>
      <c r="U86" s="1"/>
      <c r="V86" s="1"/>
      <c r="W86" s="1"/>
    </row>
    <row r="87" ht="12.75" customHeight="1" spans="1:23">
      <c r="A87" s="1" t="s">
        <v>260</v>
      </c>
      <c r="B87" s="1">
        <v>86</v>
      </c>
      <c r="C87" s="1" t="s">
        <v>16</v>
      </c>
      <c r="D87" s="1" t="s">
        <v>173</v>
      </c>
      <c r="E87" s="1" t="s">
        <v>22</v>
      </c>
      <c r="F87" s="1">
        <v>43967</v>
      </c>
      <c r="G87" s="1" t="s">
        <v>165</v>
      </c>
      <c r="H87" s="1" t="s">
        <v>165</v>
      </c>
      <c r="I87" s="1"/>
      <c r="J87" s="1"/>
      <c r="K87" s="1" t="s">
        <v>166</v>
      </c>
      <c r="L87" s="1" t="s">
        <v>167</v>
      </c>
      <c r="M87" s="1" t="s">
        <v>174</v>
      </c>
      <c r="N87" s="1" t="s">
        <v>21</v>
      </c>
      <c r="O87" s="1" t="s">
        <v>169</v>
      </c>
      <c r="P87" s="1" t="s">
        <v>15</v>
      </c>
      <c r="Q87" s="1" t="s">
        <v>165</v>
      </c>
      <c r="R87" s="1" t="s">
        <v>170</v>
      </c>
      <c r="S87" s="1" t="s">
        <v>171</v>
      </c>
      <c r="T87" s="1"/>
      <c r="U87" s="1"/>
      <c r="V87" s="1"/>
      <c r="W87" s="1"/>
    </row>
    <row r="88" ht="12.75" customHeight="1" spans="1:23">
      <c r="A88" s="1" t="s">
        <v>261</v>
      </c>
      <c r="B88" s="1">
        <v>87</v>
      </c>
      <c r="C88" s="1" t="s">
        <v>12</v>
      </c>
      <c r="D88" s="1" t="s">
        <v>39</v>
      </c>
      <c r="E88" s="1" t="s">
        <v>66</v>
      </c>
      <c r="F88" s="1">
        <v>904667</v>
      </c>
      <c r="G88" s="1" t="s">
        <v>165</v>
      </c>
      <c r="H88" s="1" t="s">
        <v>165</v>
      </c>
      <c r="I88" s="1"/>
      <c r="J88" s="1"/>
      <c r="K88" s="1" t="s">
        <v>166</v>
      </c>
      <c r="L88" s="1" t="s">
        <v>167</v>
      </c>
      <c r="M88" s="1" t="s">
        <v>174</v>
      </c>
      <c r="N88" s="1" t="s">
        <v>21</v>
      </c>
      <c r="O88" s="1" t="s">
        <v>169</v>
      </c>
      <c r="P88" s="1" t="s">
        <v>15</v>
      </c>
      <c r="Q88" s="1" t="s">
        <v>165</v>
      </c>
      <c r="R88" s="1" t="s">
        <v>170</v>
      </c>
      <c r="S88" s="1" t="s">
        <v>171</v>
      </c>
      <c r="T88" s="1"/>
      <c r="U88" s="1"/>
      <c r="V88" s="1"/>
      <c r="W88" s="1"/>
    </row>
    <row r="89" ht="12.75" customHeight="1" spans="1:23">
      <c r="A89" s="1" t="s">
        <v>262</v>
      </c>
      <c r="B89" s="1">
        <v>88</v>
      </c>
      <c r="C89" s="1" t="s">
        <v>16</v>
      </c>
      <c r="D89" s="1" t="s">
        <v>173</v>
      </c>
      <c r="E89" s="1" t="s">
        <v>17</v>
      </c>
      <c r="F89" s="1">
        <v>124100</v>
      </c>
      <c r="G89" s="1" t="s">
        <v>165</v>
      </c>
      <c r="H89" s="1" t="s">
        <v>165</v>
      </c>
      <c r="I89" s="1"/>
      <c r="J89" s="1"/>
      <c r="K89" s="1" t="s">
        <v>166</v>
      </c>
      <c r="L89" s="1" t="s">
        <v>167</v>
      </c>
      <c r="M89" s="1" t="s">
        <v>174</v>
      </c>
      <c r="N89" s="1" t="s">
        <v>21</v>
      </c>
      <c r="O89" s="1" t="s">
        <v>169</v>
      </c>
      <c r="P89" s="1" t="s">
        <v>15</v>
      </c>
      <c r="Q89" s="1" t="s">
        <v>165</v>
      </c>
      <c r="R89" s="1" t="s">
        <v>170</v>
      </c>
      <c r="S89" s="1" t="s">
        <v>171</v>
      </c>
      <c r="T89" s="1"/>
      <c r="U89" s="1"/>
      <c r="V89" s="1"/>
      <c r="W89" s="1"/>
    </row>
    <row r="90" ht="12.75" customHeight="1" spans="1:23">
      <c r="A90" s="1" t="s">
        <v>263</v>
      </c>
      <c r="B90" s="1">
        <v>89</v>
      </c>
      <c r="C90" s="1" t="s">
        <v>12</v>
      </c>
      <c r="D90" s="1" t="s">
        <v>39</v>
      </c>
      <c r="E90" s="1" t="s">
        <v>67</v>
      </c>
      <c r="F90" s="1">
        <v>140033</v>
      </c>
      <c r="G90" s="1" t="s">
        <v>165</v>
      </c>
      <c r="H90" s="1" t="s">
        <v>165</v>
      </c>
      <c r="I90" s="1"/>
      <c r="J90" s="1"/>
      <c r="K90" s="1" t="s">
        <v>166</v>
      </c>
      <c r="L90" s="1" t="s">
        <v>167</v>
      </c>
      <c r="M90" s="1" t="s">
        <v>174</v>
      </c>
      <c r="N90" s="1" t="s">
        <v>21</v>
      </c>
      <c r="O90" s="1" t="s">
        <v>169</v>
      </c>
      <c r="P90" s="1" t="s">
        <v>15</v>
      </c>
      <c r="Q90" s="1" t="s">
        <v>165</v>
      </c>
      <c r="R90" s="1" t="s">
        <v>170</v>
      </c>
      <c r="S90" s="1" t="s">
        <v>171</v>
      </c>
      <c r="T90" s="1"/>
      <c r="U90" s="1"/>
      <c r="V90" s="1"/>
      <c r="W90" s="1"/>
    </row>
    <row r="91" ht="12.75" customHeight="1" spans="1:23">
      <c r="A91" s="1" t="s">
        <v>264</v>
      </c>
      <c r="B91" s="1">
        <v>90</v>
      </c>
      <c r="C91" s="1" t="s">
        <v>16</v>
      </c>
      <c r="D91" s="1" t="s">
        <v>173</v>
      </c>
      <c r="E91" s="1" t="s">
        <v>17</v>
      </c>
      <c r="F91" s="1">
        <v>73700</v>
      </c>
      <c r="G91" s="1" t="s">
        <v>165</v>
      </c>
      <c r="H91" s="1" t="s">
        <v>165</v>
      </c>
      <c r="I91" s="1"/>
      <c r="J91" s="1"/>
      <c r="K91" s="1" t="s">
        <v>166</v>
      </c>
      <c r="L91" s="1" t="s">
        <v>167</v>
      </c>
      <c r="M91" s="1" t="s">
        <v>174</v>
      </c>
      <c r="N91" s="1" t="s">
        <v>21</v>
      </c>
      <c r="O91" s="1" t="s">
        <v>169</v>
      </c>
      <c r="P91" s="1" t="s">
        <v>15</v>
      </c>
      <c r="Q91" s="1" t="s">
        <v>165</v>
      </c>
      <c r="R91" s="1" t="s">
        <v>170</v>
      </c>
      <c r="S91" s="1" t="s">
        <v>171</v>
      </c>
      <c r="T91" s="1"/>
      <c r="U91" s="1"/>
      <c r="V91" s="1"/>
      <c r="W91" s="1"/>
    </row>
    <row r="92" ht="12.75" customHeight="1" spans="1:23">
      <c r="A92" s="1" t="s">
        <v>265</v>
      </c>
      <c r="B92" s="1">
        <v>91</v>
      </c>
      <c r="C92" s="1" t="s">
        <v>12</v>
      </c>
      <c r="D92" s="1" t="s">
        <v>39</v>
      </c>
      <c r="E92" s="1" t="s">
        <v>68</v>
      </c>
      <c r="F92" s="1">
        <v>67467</v>
      </c>
      <c r="G92" s="1" t="s">
        <v>165</v>
      </c>
      <c r="H92" s="1" t="s">
        <v>165</v>
      </c>
      <c r="I92" s="1"/>
      <c r="J92" s="1"/>
      <c r="K92" s="1" t="s">
        <v>166</v>
      </c>
      <c r="L92" s="1" t="s">
        <v>167</v>
      </c>
      <c r="M92" s="1" t="s">
        <v>174</v>
      </c>
      <c r="N92" s="1" t="s">
        <v>21</v>
      </c>
      <c r="O92" s="1" t="s">
        <v>169</v>
      </c>
      <c r="P92" s="1" t="s">
        <v>15</v>
      </c>
      <c r="Q92" s="1" t="s">
        <v>165</v>
      </c>
      <c r="R92" s="1" t="s">
        <v>170</v>
      </c>
      <c r="S92" s="1" t="s">
        <v>171</v>
      </c>
      <c r="T92" s="1"/>
      <c r="U92" s="1"/>
      <c r="V92" s="1"/>
      <c r="W92" s="1"/>
    </row>
    <row r="93" ht="12.75" customHeight="1" spans="1:23">
      <c r="A93" s="1" t="s">
        <v>266</v>
      </c>
      <c r="B93" s="1">
        <v>92</v>
      </c>
      <c r="C93" s="1" t="s">
        <v>16</v>
      </c>
      <c r="D93" s="1" t="s">
        <v>173</v>
      </c>
      <c r="E93" s="1" t="s">
        <v>17</v>
      </c>
      <c r="F93" s="1">
        <v>34567</v>
      </c>
      <c r="G93" s="1" t="s">
        <v>165</v>
      </c>
      <c r="H93" s="1" t="s">
        <v>165</v>
      </c>
      <c r="I93" s="1"/>
      <c r="J93" s="1"/>
      <c r="K93" s="1" t="s">
        <v>166</v>
      </c>
      <c r="L93" s="1" t="s">
        <v>167</v>
      </c>
      <c r="M93" s="1" t="s">
        <v>174</v>
      </c>
      <c r="N93" s="1" t="s">
        <v>21</v>
      </c>
      <c r="O93" s="1" t="s">
        <v>169</v>
      </c>
      <c r="P93" s="1" t="s">
        <v>15</v>
      </c>
      <c r="Q93" s="1" t="s">
        <v>165</v>
      </c>
      <c r="R93" s="1" t="s">
        <v>170</v>
      </c>
      <c r="S93" s="1" t="s">
        <v>171</v>
      </c>
      <c r="T93" s="1"/>
      <c r="U93" s="1"/>
      <c r="V93" s="1"/>
      <c r="W93" s="1"/>
    </row>
    <row r="94" ht="12.75" customHeight="1" spans="1:23">
      <c r="A94" s="1" t="s">
        <v>267</v>
      </c>
      <c r="B94" s="1">
        <v>93</v>
      </c>
      <c r="C94" s="1" t="s">
        <v>12</v>
      </c>
      <c r="D94" s="1" t="s">
        <v>39</v>
      </c>
      <c r="E94" s="1" t="s">
        <v>69</v>
      </c>
      <c r="F94" s="1">
        <v>89300</v>
      </c>
      <c r="G94" s="1" t="s">
        <v>165</v>
      </c>
      <c r="H94" s="1" t="s">
        <v>165</v>
      </c>
      <c r="I94" s="1"/>
      <c r="J94" s="1"/>
      <c r="K94" s="1" t="s">
        <v>166</v>
      </c>
      <c r="L94" s="1" t="s">
        <v>167</v>
      </c>
      <c r="M94" s="1" t="s">
        <v>174</v>
      </c>
      <c r="N94" s="1" t="s">
        <v>21</v>
      </c>
      <c r="O94" s="1" t="s">
        <v>169</v>
      </c>
      <c r="P94" s="1" t="s">
        <v>15</v>
      </c>
      <c r="Q94" s="1" t="s">
        <v>165</v>
      </c>
      <c r="R94" s="1" t="s">
        <v>170</v>
      </c>
      <c r="S94" s="1" t="s">
        <v>171</v>
      </c>
      <c r="T94" s="1"/>
      <c r="U94" s="1"/>
      <c r="V94" s="1"/>
      <c r="W94" s="1"/>
    </row>
    <row r="95" ht="12.75" customHeight="1" spans="1:23">
      <c r="A95" s="1" t="s">
        <v>268</v>
      </c>
      <c r="B95" s="1">
        <v>94</v>
      </c>
      <c r="C95" s="1" t="s">
        <v>16</v>
      </c>
      <c r="D95" s="1" t="s">
        <v>173</v>
      </c>
      <c r="E95" s="1" t="s">
        <v>17</v>
      </c>
      <c r="F95" s="1">
        <v>49500</v>
      </c>
      <c r="G95" s="1" t="s">
        <v>165</v>
      </c>
      <c r="H95" s="1" t="s">
        <v>165</v>
      </c>
      <c r="I95" s="1"/>
      <c r="J95" s="1"/>
      <c r="K95" s="1" t="s">
        <v>166</v>
      </c>
      <c r="L95" s="1" t="s">
        <v>167</v>
      </c>
      <c r="M95" s="1" t="s">
        <v>174</v>
      </c>
      <c r="N95" s="1" t="s">
        <v>21</v>
      </c>
      <c r="O95" s="1" t="s">
        <v>169</v>
      </c>
      <c r="P95" s="1" t="s">
        <v>15</v>
      </c>
      <c r="Q95" s="1" t="s">
        <v>165</v>
      </c>
      <c r="R95" s="1" t="s">
        <v>170</v>
      </c>
      <c r="S95" s="1" t="s">
        <v>171</v>
      </c>
      <c r="T95" s="1"/>
      <c r="U95" s="1"/>
      <c r="V95" s="1"/>
      <c r="W95" s="1"/>
    </row>
    <row r="96" ht="12.75" customHeight="1" spans="1:23">
      <c r="A96" s="1" t="s">
        <v>269</v>
      </c>
      <c r="B96" s="1">
        <v>95</v>
      </c>
      <c r="C96" s="1" t="s">
        <v>12</v>
      </c>
      <c r="D96" s="1" t="s">
        <v>39</v>
      </c>
      <c r="E96" s="1" t="s">
        <v>70</v>
      </c>
      <c r="F96" s="1">
        <v>77767</v>
      </c>
      <c r="G96" s="1" t="s">
        <v>165</v>
      </c>
      <c r="H96" s="1" t="s">
        <v>165</v>
      </c>
      <c r="I96" s="1"/>
      <c r="J96" s="1"/>
      <c r="K96" s="1" t="s">
        <v>166</v>
      </c>
      <c r="L96" s="1" t="s">
        <v>167</v>
      </c>
      <c r="M96" s="1" t="s">
        <v>174</v>
      </c>
      <c r="N96" s="1" t="s">
        <v>21</v>
      </c>
      <c r="O96" s="1" t="s">
        <v>169</v>
      </c>
      <c r="P96" s="1" t="s">
        <v>15</v>
      </c>
      <c r="Q96" s="1" t="s">
        <v>165</v>
      </c>
      <c r="R96" s="1" t="s">
        <v>170</v>
      </c>
      <c r="S96" s="1" t="s">
        <v>171</v>
      </c>
      <c r="T96" s="1"/>
      <c r="U96" s="1"/>
      <c r="V96" s="1"/>
      <c r="W96" s="1"/>
    </row>
    <row r="97" ht="12.75" customHeight="1" spans="1:23">
      <c r="A97" s="1" t="s">
        <v>270</v>
      </c>
      <c r="B97" s="1">
        <v>96</v>
      </c>
      <c r="C97" s="1" t="s">
        <v>16</v>
      </c>
      <c r="D97" s="1" t="s">
        <v>173</v>
      </c>
      <c r="E97" s="1" t="s">
        <v>22</v>
      </c>
      <c r="F97" s="1">
        <v>28800</v>
      </c>
      <c r="G97" s="1" t="s">
        <v>165</v>
      </c>
      <c r="H97" s="1" t="s">
        <v>165</v>
      </c>
      <c r="I97" s="1"/>
      <c r="J97" s="1"/>
      <c r="K97" s="1" t="s">
        <v>166</v>
      </c>
      <c r="L97" s="1" t="s">
        <v>167</v>
      </c>
      <c r="M97" s="1" t="s">
        <v>174</v>
      </c>
      <c r="N97" s="1" t="s">
        <v>21</v>
      </c>
      <c r="O97" s="1" t="s">
        <v>169</v>
      </c>
      <c r="P97" s="1" t="s">
        <v>15</v>
      </c>
      <c r="Q97" s="1" t="s">
        <v>165</v>
      </c>
      <c r="R97" s="1" t="s">
        <v>170</v>
      </c>
      <c r="S97" s="1" t="s">
        <v>171</v>
      </c>
      <c r="T97" s="1"/>
      <c r="U97" s="1"/>
      <c r="V97" s="1"/>
      <c r="W97" s="1"/>
    </row>
    <row r="98" ht="12.75" customHeight="1" spans="1:23">
      <c r="A98" s="1" t="s">
        <v>271</v>
      </c>
      <c r="B98" s="1">
        <v>97</v>
      </c>
      <c r="C98" s="1" t="s">
        <v>12</v>
      </c>
      <c r="D98" s="1" t="s">
        <v>39</v>
      </c>
      <c r="E98" s="1" t="s">
        <v>71</v>
      </c>
      <c r="F98" s="1">
        <v>70533</v>
      </c>
      <c r="G98" s="1" t="s">
        <v>165</v>
      </c>
      <c r="H98" s="1" t="s">
        <v>165</v>
      </c>
      <c r="I98" s="1"/>
      <c r="J98" s="1"/>
      <c r="K98" s="1" t="s">
        <v>166</v>
      </c>
      <c r="L98" s="1" t="s">
        <v>167</v>
      </c>
      <c r="M98" s="1" t="s">
        <v>174</v>
      </c>
      <c r="N98" s="1" t="s">
        <v>21</v>
      </c>
      <c r="O98" s="1" t="s">
        <v>169</v>
      </c>
      <c r="P98" s="1" t="s">
        <v>15</v>
      </c>
      <c r="Q98" s="1" t="s">
        <v>165</v>
      </c>
      <c r="R98" s="1" t="s">
        <v>170</v>
      </c>
      <c r="S98" s="1" t="s">
        <v>171</v>
      </c>
      <c r="T98" s="1"/>
      <c r="U98" s="1"/>
      <c r="V98" s="1"/>
      <c r="W98" s="1"/>
    </row>
    <row r="99" ht="12.75" customHeight="1" spans="1:23">
      <c r="A99" s="1" t="s">
        <v>272</v>
      </c>
      <c r="B99" s="1">
        <v>98</v>
      </c>
      <c r="C99" s="1" t="s">
        <v>16</v>
      </c>
      <c r="D99" s="1" t="s">
        <v>173</v>
      </c>
      <c r="E99" s="1" t="s">
        <v>17</v>
      </c>
      <c r="F99" s="1">
        <v>29367</v>
      </c>
      <c r="G99" s="1" t="s">
        <v>165</v>
      </c>
      <c r="H99" s="1" t="s">
        <v>165</v>
      </c>
      <c r="I99" s="1"/>
      <c r="J99" s="1"/>
      <c r="K99" s="1" t="s">
        <v>166</v>
      </c>
      <c r="L99" s="1" t="s">
        <v>167</v>
      </c>
      <c r="M99" s="1" t="s">
        <v>174</v>
      </c>
      <c r="N99" s="1" t="s">
        <v>21</v>
      </c>
      <c r="O99" s="1" t="s">
        <v>169</v>
      </c>
      <c r="P99" s="1" t="s">
        <v>15</v>
      </c>
      <c r="Q99" s="1" t="s">
        <v>165</v>
      </c>
      <c r="R99" s="1" t="s">
        <v>170</v>
      </c>
      <c r="S99" s="1" t="s">
        <v>171</v>
      </c>
      <c r="T99" s="1"/>
      <c r="U99" s="1"/>
      <c r="V99" s="1"/>
      <c r="W99" s="1"/>
    </row>
    <row r="100" ht="12.75" customHeight="1" spans="1:23">
      <c r="A100" s="1" t="s">
        <v>273</v>
      </c>
      <c r="B100" s="1">
        <v>99</v>
      </c>
      <c r="C100" s="1" t="s">
        <v>12</v>
      </c>
      <c r="D100" s="1" t="s">
        <v>39</v>
      </c>
      <c r="E100" s="1" t="s">
        <v>72</v>
      </c>
      <c r="F100" s="1">
        <v>70400</v>
      </c>
      <c r="G100" s="1" t="s">
        <v>165</v>
      </c>
      <c r="H100" s="1" t="s">
        <v>165</v>
      </c>
      <c r="I100" s="1"/>
      <c r="J100" s="1"/>
      <c r="K100" s="1" t="s">
        <v>166</v>
      </c>
      <c r="L100" s="1" t="s">
        <v>167</v>
      </c>
      <c r="M100" s="1" t="s">
        <v>174</v>
      </c>
      <c r="N100" s="1" t="s">
        <v>21</v>
      </c>
      <c r="O100" s="1" t="s">
        <v>169</v>
      </c>
      <c r="P100" s="1" t="s">
        <v>15</v>
      </c>
      <c r="Q100" s="1" t="s">
        <v>165</v>
      </c>
      <c r="R100" s="1" t="s">
        <v>170</v>
      </c>
      <c r="S100" s="1" t="s">
        <v>171</v>
      </c>
      <c r="T100" s="1"/>
      <c r="U100" s="1"/>
      <c r="V100" s="1"/>
      <c r="W100" s="1"/>
    </row>
    <row r="101" ht="12.75" customHeight="1" spans="1:23">
      <c r="A101" s="1" t="s">
        <v>274</v>
      </c>
      <c r="B101" s="1">
        <v>100</v>
      </c>
      <c r="C101" s="1" t="s">
        <v>16</v>
      </c>
      <c r="D101" s="1" t="s">
        <v>173</v>
      </c>
      <c r="E101" s="1" t="s">
        <v>17</v>
      </c>
      <c r="F101" s="1">
        <v>29200</v>
      </c>
      <c r="G101" s="1" t="s">
        <v>165</v>
      </c>
      <c r="H101" s="1" t="s">
        <v>165</v>
      </c>
      <c r="I101" s="1"/>
      <c r="J101" s="1"/>
      <c r="K101" s="1" t="s">
        <v>166</v>
      </c>
      <c r="L101" s="1" t="s">
        <v>167</v>
      </c>
      <c r="M101" s="1" t="s">
        <v>174</v>
      </c>
      <c r="N101" s="1" t="s">
        <v>21</v>
      </c>
      <c r="O101" s="1" t="s">
        <v>169</v>
      </c>
      <c r="P101" s="1" t="s">
        <v>15</v>
      </c>
      <c r="Q101" s="1" t="s">
        <v>165</v>
      </c>
      <c r="R101" s="1" t="s">
        <v>170</v>
      </c>
      <c r="S101" s="1" t="s">
        <v>171</v>
      </c>
      <c r="T101" s="1"/>
      <c r="U101" s="1"/>
      <c r="V101" s="1"/>
      <c r="W101" s="1"/>
    </row>
    <row r="102" ht="12.75" customHeight="1" spans="1:23">
      <c r="A102" s="1" t="s">
        <v>275</v>
      </c>
      <c r="B102" s="1">
        <v>101</v>
      </c>
      <c r="C102" s="1" t="s">
        <v>12</v>
      </c>
      <c r="D102" s="1" t="s">
        <v>39</v>
      </c>
      <c r="E102" s="1" t="s">
        <v>73</v>
      </c>
      <c r="F102" s="1">
        <v>57033</v>
      </c>
      <c r="G102" s="1" t="s">
        <v>165</v>
      </c>
      <c r="H102" s="1" t="s">
        <v>165</v>
      </c>
      <c r="I102" s="1"/>
      <c r="J102" s="1"/>
      <c r="K102" s="1" t="s">
        <v>166</v>
      </c>
      <c r="L102" s="1" t="s">
        <v>167</v>
      </c>
      <c r="M102" s="1" t="s">
        <v>174</v>
      </c>
      <c r="N102" s="1" t="s">
        <v>21</v>
      </c>
      <c r="O102" s="1" t="s">
        <v>169</v>
      </c>
      <c r="P102" s="1" t="s">
        <v>15</v>
      </c>
      <c r="Q102" s="1" t="s">
        <v>165</v>
      </c>
      <c r="R102" s="1" t="s">
        <v>170</v>
      </c>
      <c r="S102" s="1" t="s">
        <v>171</v>
      </c>
      <c r="T102" s="1"/>
      <c r="U102" s="1"/>
      <c r="V102" s="1"/>
      <c r="W102" s="1"/>
    </row>
    <row r="103" ht="12.75" customHeight="1" spans="1:23">
      <c r="A103" s="1" t="s">
        <v>276</v>
      </c>
      <c r="B103" s="1">
        <v>102</v>
      </c>
      <c r="C103" s="1" t="s">
        <v>16</v>
      </c>
      <c r="D103" s="1" t="s">
        <v>173</v>
      </c>
      <c r="E103" s="1" t="s">
        <v>74</v>
      </c>
      <c r="F103" s="1">
        <v>22200</v>
      </c>
      <c r="G103" s="1" t="s">
        <v>165</v>
      </c>
      <c r="H103" s="1" t="s">
        <v>165</v>
      </c>
      <c r="I103" s="1"/>
      <c r="J103" s="1"/>
      <c r="K103" s="1" t="s">
        <v>166</v>
      </c>
      <c r="L103" s="1" t="s">
        <v>167</v>
      </c>
      <c r="M103" s="1" t="s">
        <v>174</v>
      </c>
      <c r="N103" s="1" t="s">
        <v>21</v>
      </c>
      <c r="O103" s="1" t="s">
        <v>169</v>
      </c>
      <c r="P103" s="1" t="s">
        <v>15</v>
      </c>
      <c r="Q103" s="1" t="s">
        <v>165</v>
      </c>
      <c r="R103" s="1" t="s">
        <v>170</v>
      </c>
      <c r="S103" s="1" t="s">
        <v>171</v>
      </c>
      <c r="T103" s="1"/>
      <c r="U103" s="1"/>
      <c r="V103" s="1"/>
      <c r="W103" s="1"/>
    </row>
    <row r="104" ht="12.75" customHeight="1" spans="1:23">
      <c r="A104" s="1" t="s">
        <v>277</v>
      </c>
      <c r="B104" s="1">
        <v>103</v>
      </c>
      <c r="C104" s="1" t="s">
        <v>12</v>
      </c>
      <c r="D104" s="1" t="s">
        <v>39</v>
      </c>
      <c r="E104" s="1" t="s">
        <v>75</v>
      </c>
      <c r="F104" s="1">
        <v>82533</v>
      </c>
      <c r="G104" s="1" t="s">
        <v>165</v>
      </c>
      <c r="H104" s="1" t="s">
        <v>165</v>
      </c>
      <c r="I104" s="1"/>
      <c r="J104" s="1"/>
      <c r="K104" s="1" t="s">
        <v>166</v>
      </c>
      <c r="L104" s="1" t="s">
        <v>167</v>
      </c>
      <c r="M104" s="1" t="s">
        <v>174</v>
      </c>
      <c r="N104" s="1" t="s">
        <v>21</v>
      </c>
      <c r="O104" s="1" t="s">
        <v>169</v>
      </c>
      <c r="P104" s="1" t="s">
        <v>15</v>
      </c>
      <c r="Q104" s="1" t="s">
        <v>165</v>
      </c>
      <c r="R104" s="1" t="s">
        <v>170</v>
      </c>
      <c r="S104" s="1" t="s">
        <v>171</v>
      </c>
      <c r="T104" s="1"/>
      <c r="U104" s="1"/>
      <c r="V104" s="1"/>
      <c r="W104" s="1"/>
    </row>
    <row r="105" ht="12.75" customHeight="1" spans="1:23">
      <c r="A105" s="1" t="s">
        <v>278</v>
      </c>
      <c r="B105" s="1">
        <v>104</v>
      </c>
      <c r="C105" s="1" t="s">
        <v>16</v>
      </c>
      <c r="D105" s="1" t="s">
        <v>173</v>
      </c>
      <c r="E105" s="1" t="s">
        <v>74</v>
      </c>
      <c r="F105" s="1">
        <v>47833</v>
      </c>
      <c r="G105" s="1" t="s">
        <v>165</v>
      </c>
      <c r="H105" s="1" t="s">
        <v>165</v>
      </c>
      <c r="I105" s="1"/>
      <c r="J105" s="1"/>
      <c r="K105" s="1" t="s">
        <v>166</v>
      </c>
      <c r="L105" s="1" t="s">
        <v>167</v>
      </c>
      <c r="M105" s="1" t="s">
        <v>174</v>
      </c>
      <c r="N105" s="1" t="s">
        <v>21</v>
      </c>
      <c r="O105" s="1" t="s">
        <v>169</v>
      </c>
      <c r="P105" s="1" t="s">
        <v>15</v>
      </c>
      <c r="Q105" s="1" t="s">
        <v>165</v>
      </c>
      <c r="R105" s="1" t="s">
        <v>170</v>
      </c>
      <c r="S105" s="1" t="s">
        <v>171</v>
      </c>
      <c r="T105" s="1"/>
      <c r="U105" s="1"/>
      <c r="V105" s="1"/>
      <c r="W105" s="1"/>
    </row>
    <row r="106" ht="12.75" customHeight="1" spans="1:23">
      <c r="A106" s="1" t="s">
        <v>279</v>
      </c>
      <c r="B106" s="1">
        <v>105</v>
      </c>
      <c r="C106" s="1" t="s">
        <v>12</v>
      </c>
      <c r="D106" s="1" t="s">
        <v>39</v>
      </c>
      <c r="E106" s="1" t="s">
        <v>76</v>
      </c>
      <c r="F106" s="1">
        <v>68200</v>
      </c>
      <c r="G106" s="1" t="s">
        <v>165</v>
      </c>
      <c r="H106" s="1" t="s">
        <v>165</v>
      </c>
      <c r="I106" s="1"/>
      <c r="J106" s="1"/>
      <c r="K106" s="1" t="s">
        <v>166</v>
      </c>
      <c r="L106" s="1" t="s">
        <v>167</v>
      </c>
      <c r="M106" s="1" t="s">
        <v>174</v>
      </c>
      <c r="N106" s="1" t="s">
        <v>21</v>
      </c>
      <c r="O106" s="1" t="s">
        <v>169</v>
      </c>
      <c r="P106" s="1" t="s">
        <v>15</v>
      </c>
      <c r="Q106" s="1" t="s">
        <v>165</v>
      </c>
      <c r="R106" s="1" t="s">
        <v>170</v>
      </c>
      <c r="S106" s="1" t="s">
        <v>171</v>
      </c>
      <c r="T106" s="1"/>
      <c r="U106" s="1"/>
      <c r="V106" s="1"/>
      <c r="W106" s="1"/>
    </row>
    <row r="107" ht="12.75" customHeight="1" spans="1:23">
      <c r="A107" s="1" t="s">
        <v>280</v>
      </c>
      <c r="B107" s="1">
        <v>106</v>
      </c>
      <c r="C107" s="1" t="s">
        <v>16</v>
      </c>
      <c r="D107" s="1" t="s">
        <v>173</v>
      </c>
      <c r="E107" s="1" t="s">
        <v>74</v>
      </c>
      <c r="F107" s="1">
        <v>28367</v>
      </c>
      <c r="G107" s="1" t="s">
        <v>165</v>
      </c>
      <c r="H107" s="1" t="s">
        <v>165</v>
      </c>
      <c r="I107" s="1"/>
      <c r="J107" s="1"/>
      <c r="K107" s="1" t="s">
        <v>166</v>
      </c>
      <c r="L107" s="1" t="s">
        <v>167</v>
      </c>
      <c r="M107" s="1" t="s">
        <v>174</v>
      </c>
      <c r="N107" s="1" t="s">
        <v>21</v>
      </c>
      <c r="O107" s="1" t="s">
        <v>169</v>
      </c>
      <c r="P107" s="1" t="s">
        <v>15</v>
      </c>
      <c r="Q107" s="1" t="s">
        <v>165</v>
      </c>
      <c r="R107" s="1" t="s">
        <v>170</v>
      </c>
      <c r="S107" s="1" t="s">
        <v>171</v>
      </c>
      <c r="T107" s="1"/>
      <c r="U107" s="1"/>
      <c r="V107" s="1"/>
      <c r="W107" s="1"/>
    </row>
    <row r="108" ht="12.75" customHeight="1" spans="1:23">
      <c r="A108" s="1" t="s">
        <v>281</v>
      </c>
      <c r="B108" s="1">
        <v>107</v>
      </c>
      <c r="C108" s="1" t="s">
        <v>12</v>
      </c>
      <c r="D108" s="1" t="s">
        <v>39</v>
      </c>
      <c r="E108" s="1" t="s">
        <v>77</v>
      </c>
      <c r="F108" s="1">
        <v>57267</v>
      </c>
      <c r="G108" s="1" t="s">
        <v>165</v>
      </c>
      <c r="H108" s="1" t="s">
        <v>165</v>
      </c>
      <c r="I108" s="1"/>
      <c r="J108" s="1"/>
      <c r="K108" s="1" t="s">
        <v>166</v>
      </c>
      <c r="L108" s="1" t="s">
        <v>167</v>
      </c>
      <c r="M108" s="1" t="s">
        <v>174</v>
      </c>
      <c r="N108" s="1" t="s">
        <v>21</v>
      </c>
      <c r="O108" s="1" t="s">
        <v>169</v>
      </c>
      <c r="P108" s="1" t="s">
        <v>15</v>
      </c>
      <c r="Q108" s="1" t="s">
        <v>165</v>
      </c>
      <c r="R108" s="1" t="s">
        <v>170</v>
      </c>
      <c r="S108" s="1" t="s">
        <v>171</v>
      </c>
      <c r="T108" s="1"/>
      <c r="U108" s="1"/>
      <c r="V108" s="1"/>
      <c r="W108" s="1"/>
    </row>
    <row r="109" ht="12.75" customHeight="1" spans="1:23">
      <c r="A109" s="1" t="s">
        <v>282</v>
      </c>
      <c r="B109" s="1">
        <v>108</v>
      </c>
      <c r="C109" s="1" t="s">
        <v>16</v>
      </c>
      <c r="D109" s="1" t="s">
        <v>173</v>
      </c>
      <c r="E109" s="1" t="s">
        <v>74</v>
      </c>
      <c r="F109" s="1">
        <v>22200</v>
      </c>
      <c r="G109" s="1" t="s">
        <v>165</v>
      </c>
      <c r="H109" s="1" t="s">
        <v>165</v>
      </c>
      <c r="I109" s="1"/>
      <c r="J109" s="1"/>
      <c r="K109" s="1" t="s">
        <v>166</v>
      </c>
      <c r="L109" s="1" t="s">
        <v>167</v>
      </c>
      <c r="M109" s="1" t="s">
        <v>174</v>
      </c>
      <c r="N109" s="1" t="s">
        <v>21</v>
      </c>
      <c r="O109" s="1" t="s">
        <v>169</v>
      </c>
      <c r="P109" s="1" t="s">
        <v>15</v>
      </c>
      <c r="Q109" s="1" t="s">
        <v>165</v>
      </c>
      <c r="R109" s="1" t="s">
        <v>170</v>
      </c>
      <c r="S109" s="1" t="s">
        <v>171</v>
      </c>
      <c r="T109" s="1"/>
      <c r="U109" s="1"/>
      <c r="V109" s="1"/>
      <c r="W109" s="1"/>
    </row>
    <row r="110" ht="12.75" customHeight="1" spans="1:23">
      <c r="A110" s="1" t="s">
        <v>283</v>
      </c>
      <c r="B110" s="1">
        <v>109</v>
      </c>
      <c r="C110" s="1" t="s">
        <v>12</v>
      </c>
      <c r="D110" s="1" t="s">
        <v>39</v>
      </c>
      <c r="E110" s="1" t="s">
        <v>78</v>
      </c>
      <c r="F110" s="1">
        <v>126867</v>
      </c>
      <c r="G110" s="1" t="s">
        <v>165</v>
      </c>
      <c r="H110" s="1" t="s">
        <v>165</v>
      </c>
      <c r="I110" s="1"/>
      <c r="J110" s="1"/>
      <c r="K110" s="1" t="s">
        <v>166</v>
      </c>
      <c r="L110" s="1" t="s">
        <v>167</v>
      </c>
      <c r="M110" s="1" t="s">
        <v>174</v>
      </c>
      <c r="N110" s="1" t="s">
        <v>21</v>
      </c>
      <c r="O110" s="1" t="s">
        <v>169</v>
      </c>
      <c r="P110" s="1" t="s">
        <v>15</v>
      </c>
      <c r="Q110" s="1" t="s">
        <v>165</v>
      </c>
      <c r="R110" s="1" t="s">
        <v>170</v>
      </c>
      <c r="S110" s="1" t="s">
        <v>171</v>
      </c>
      <c r="T110" s="1"/>
      <c r="U110" s="1"/>
      <c r="V110" s="1"/>
      <c r="W110" s="1"/>
    </row>
    <row r="111" ht="12.75" customHeight="1" spans="1:23">
      <c r="A111" s="1" t="s">
        <v>284</v>
      </c>
      <c r="B111" s="1">
        <v>110</v>
      </c>
      <c r="C111" s="1" t="s">
        <v>16</v>
      </c>
      <c r="D111" s="1" t="s">
        <v>173</v>
      </c>
      <c r="E111" s="1" t="s">
        <v>17</v>
      </c>
      <c r="F111" s="1">
        <v>71833</v>
      </c>
      <c r="G111" s="1" t="s">
        <v>165</v>
      </c>
      <c r="H111" s="1" t="s">
        <v>165</v>
      </c>
      <c r="I111" s="1"/>
      <c r="J111" s="1"/>
      <c r="K111" s="1" t="s">
        <v>166</v>
      </c>
      <c r="L111" s="1" t="s">
        <v>167</v>
      </c>
      <c r="M111" s="1" t="s">
        <v>174</v>
      </c>
      <c r="N111" s="1" t="s">
        <v>21</v>
      </c>
      <c r="O111" s="1" t="s">
        <v>169</v>
      </c>
      <c r="P111" s="1" t="s">
        <v>15</v>
      </c>
      <c r="Q111" s="1" t="s">
        <v>165</v>
      </c>
      <c r="R111" s="1" t="s">
        <v>170</v>
      </c>
      <c r="S111" s="1" t="s">
        <v>171</v>
      </c>
      <c r="T111" s="1"/>
      <c r="U111" s="1"/>
      <c r="V111" s="1"/>
      <c r="W111" s="1"/>
    </row>
    <row r="112" ht="12.75" customHeight="1" spans="1:23">
      <c r="A112" s="1" t="s">
        <v>285</v>
      </c>
      <c r="B112" s="1">
        <v>111</v>
      </c>
      <c r="C112" s="1" t="s">
        <v>12</v>
      </c>
      <c r="D112" s="1" t="s">
        <v>39</v>
      </c>
      <c r="E112" s="1" t="s">
        <v>79</v>
      </c>
      <c r="F112" s="1">
        <v>75433</v>
      </c>
      <c r="G112" s="1" t="s">
        <v>165</v>
      </c>
      <c r="H112" s="1" t="s">
        <v>165</v>
      </c>
      <c r="I112" s="1"/>
      <c r="J112" s="1"/>
      <c r="K112" s="1" t="s">
        <v>166</v>
      </c>
      <c r="L112" s="1" t="s">
        <v>167</v>
      </c>
      <c r="M112" s="1" t="s">
        <v>174</v>
      </c>
      <c r="N112" s="1" t="s">
        <v>21</v>
      </c>
      <c r="O112" s="1" t="s">
        <v>169</v>
      </c>
      <c r="P112" s="1" t="s">
        <v>15</v>
      </c>
      <c r="Q112" s="1" t="s">
        <v>165</v>
      </c>
      <c r="R112" s="1" t="s">
        <v>170</v>
      </c>
      <c r="S112" s="1" t="s">
        <v>171</v>
      </c>
      <c r="T112" s="1"/>
      <c r="U112" s="1"/>
      <c r="V112" s="1"/>
      <c r="W112" s="1"/>
    </row>
    <row r="113" ht="12.75" customHeight="1" spans="1:23">
      <c r="A113" s="1" t="s">
        <v>286</v>
      </c>
      <c r="B113" s="1">
        <v>112</v>
      </c>
      <c r="C113" s="1" t="s">
        <v>16</v>
      </c>
      <c r="D113" s="1" t="s">
        <v>173</v>
      </c>
      <c r="E113" s="1" t="s">
        <v>74</v>
      </c>
      <c r="F113" s="1">
        <v>32900</v>
      </c>
      <c r="G113" s="1" t="s">
        <v>165</v>
      </c>
      <c r="H113" s="1" t="s">
        <v>165</v>
      </c>
      <c r="I113" s="1"/>
      <c r="J113" s="1"/>
      <c r="K113" s="1" t="s">
        <v>166</v>
      </c>
      <c r="L113" s="1" t="s">
        <v>167</v>
      </c>
      <c r="M113" s="1" t="s">
        <v>174</v>
      </c>
      <c r="N113" s="1" t="s">
        <v>21</v>
      </c>
      <c r="O113" s="1" t="s">
        <v>169</v>
      </c>
      <c r="P113" s="1" t="s">
        <v>15</v>
      </c>
      <c r="Q113" s="1" t="s">
        <v>165</v>
      </c>
      <c r="R113" s="1" t="s">
        <v>170</v>
      </c>
      <c r="S113" s="1" t="s">
        <v>171</v>
      </c>
      <c r="T113" s="1"/>
      <c r="U113" s="1"/>
      <c r="V113" s="1"/>
      <c r="W113" s="1"/>
    </row>
    <row r="114" ht="12.75" customHeight="1" spans="1:23">
      <c r="A114" s="1" t="s">
        <v>287</v>
      </c>
      <c r="B114" s="1">
        <v>113</v>
      </c>
      <c r="C114" s="1" t="s">
        <v>12</v>
      </c>
      <c r="D114" s="1" t="s">
        <v>39</v>
      </c>
      <c r="E114" s="1" t="s">
        <v>80</v>
      </c>
      <c r="F114" s="1">
        <v>125533</v>
      </c>
      <c r="G114" s="1" t="s">
        <v>165</v>
      </c>
      <c r="H114" s="1" t="s">
        <v>165</v>
      </c>
      <c r="I114" s="1"/>
      <c r="J114" s="1"/>
      <c r="K114" s="1" t="s">
        <v>166</v>
      </c>
      <c r="L114" s="1" t="s">
        <v>167</v>
      </c>
      <c r="M114" s="1" t="s">
        <v>174</v>
      </c>
      <c r="N114" s="1" t="s">
        <v>21</v>
      </c>
      <c r="O114" s="1" t="s">
        <v>169</v>
      </c>
      <c r="P114" s="1" t="s">
        <v>15</v>
      </c>
      <c r="Q114" s="1" t="s">
        <v>165</v>
      </c>
      <c r="R114" s="1" t="s">
        <v>170</v>
      </c>
      <c r="S114" s="1" t="s">
        <v>171</v>
      </c>
      <c r="T114" s="1"/>
      <c r="U114" s="1"/>
      <c r="V114" s="1"/>
      <c r="W114" s="1"/>
    </row>
    <row r="115" ht="12.75" customHeight="1" spans="1:23">
      <c r="A115" s="1" t="s">
        <v>288</v>
      </c>
      <c r="B115" s="1">
        <v>114</v>
      </c>
      <c r="C115" s="1" t="s">
        <v>16</v>
      </c>
      <c r="D115" s="1" t="s">
        <v>173</v>
      </c>
      <c r="E115" s="1" t="s">
        <v>17</v>
      </c>
      <c r="F115" s="1">
        <v>45133</v>
      </c>
      <c r="G115" s="1" t="s">
        <v>165</v>
      </c>
      <c r="H115" s="1" t="s">
        <v>165</v>
      </c>
      <c r="I115" s="1"/>
      <c r="J115" s="1"/>
      <c r="K115" s="1" t="s">
        <v>166</v>
      </c>
      <c r="L115" s="1" t="s">
        <v>167</v>
      </c>
      <c r="M115" s="1" t="s">
        <v>174</v>
      </c>
      <c r="N115" s="1" t="s">
        <v>21</v>
      </c>
      <c r="O115" s="1" t="s">
        <v>169</v>
      </c>
      <c r="P115" s="1" t="s">
        <v>15</v>
      </c>
      <c r="Q115" s="1" t="s">
        <v>165</v>
      </c>
      <c r="R115" s="1" t="s">
        <v>170</v>
      </c>
      <c r="S115" s="1" t="s">
        <v>171</v>
      </c>
      <c r="T115" s="1"/>
      <c r="U115" s="1"/>
      <c r="V115" s="1"/>
      <c r="W115" s="1"/>
    </row>
    <row r="116" ht="12.75" customHeight="1" spans="1:23">
      <c r="A116" s="1" t="s">
        <v>289</v>
      </c>
      <c r="B116" s="1">
        <v>115</v>
      </c>
      <c r="C116" s="1" t="s">
        <v>12</v>
      </c>
      <c r="D116" s="1" t="s">
        <v>39</v>
      </c>
      <c r="E116" s="1" t="s">
        <v>81</v>
      </c>
      <c r="F116" s="1">
        <v>73000</v>
      </c>
      <c r="G116" s="1" t="s">
        <v>165</v>
      </c>
      <c r="H116" s="1" t="s">
        <v>165</v>
      </c>
      <c r="I116" s="1"/>
      <c r="J116" s="1"/>
      <c r="K116" s="1" t="s">
        <v>166</v>
      </c>
      <c r="L116" s="1" t="s">
        <v>167</v>
      </c>
      <c r="M116" s="1" t="s">
        <v>174</v>
      </c>
      <c r="N116" s="1" t="s">
        <v>21</v>
      </c>
      <c r="O116" s="1" t="s">
        <v>169</v>
      </c>
      <c r="P116" s="1" t="s">
        <v>15</v>
      </c>
      <c r="Q116" s="1" t="s">
        <v>165</v>
      </c>
      <c r="R116" s="1" t="s">
        <v>170</v>
      </c>
      <c r="S116" s="1" t="s">
        <v>171</v>
      </c>
      <c r="T116" s="1"/>
      <c r="U116" s="1"/>
      <c r="V116" s="1"/>
      <c r="W116" s="1"/>
    </row>
    <row r="117" ht="12.75" customHeight="1" spans="1:23">
      <c r="A117" s="1" t="s">
        <v>290</v>
      </c>
      <c r="B117" s="1">
        <v>116</v>
      </c>
      <c r="C117" s="1" t="s">
        <v>16</v>
      </c>
      <c r="D117" s="1" t="s">
        <v>173</v>
      </c>
      <c r="E117" s="1" t="s">
        <v>74</v>
      </c>
      <c r="F117" s="1">
        <v>30667</v>
      </c>
      <c r="G117" s="1" t="s">
        <v>165</v>
      </c>
      <c r="H117" s="1" t="s">
        <v>165</v>
      </c>
      <c r="I117" s="1"/>
      <c r="J117" s="1"/>
      <c r="K117" s="1" t="s">
        <v>166</v>
      </c>
      <c r="L117" s="1" t="s">
        <v>167</v>
      </c>
      <c r="M117" s="1" t="s">
        <v>174</v>
      </c>
      <c r="N117" s="1" t="s">
        <v>21</v>
      </c>
      <c r="O117" s="1" t="s">
        <v>169</v>
      </c>
      <c r="P117" s="1" t="s">
        <v>15</v>
      </c>
      <c r="Q117" s="1" t="s">
        <v>165</v>
      </c>
      <c r="R117" s="1" t="s">
        <v>170</v>
      </c>
      <c r="S117" s="1" t="s">
        <v>171</v>
      </c>
      <c r="T117" s="1"/>
      <c r="U117" s="1"/>
      <c r="V117" s="1"/>
      <c r="W117" s="1"/>
    </row>
    <row r="118" ht="12.75" customHeight="1" spans="1:23">
      <c r="A118" s="1" t="s">
        <v>291</v>
      </c>
      <c r="B118" s="1">
        <v>117</v>
      </c>
      <c r="C118" s="1" t="s">
        <v>12</v>
      </c>
      <c r="D118" s="1" t="s">
        <v>39</v>
      </c>
      <c r="E118" s="1" t="s">
        <v>82</v>
      </c>
      <c r="F118" s="1">
        <v>130167</v>
      </c>
      <c r="G118" s="1" t="s">
        <v>165</v>
      </c>
      <c r="H118" s="1" t="s">
        <v>165</v>
      </c>
      <c r="I118" s="1"/>
      <c r="J118" s="1"/>
      <c r="K118" s="1" t="s">
        <v>166</v>
      </c>
      <c r="L118" s="1" t="s">
        <v>167</v>
      </c>
      <c r="M118" s="1" t="s">
        <v>174</v>
      </c>
      <c r="N118" s="1" t="s">
        <v>21</v>
      </c>
      <c r="O118" s="1" t="s">
        <v>169</v>
      </c>
      <c r="P118" s="1" t="s">
        <v>15</v>
      </c>
      <c r="Q118" s="1" t="s">
        <v>165</v>
      </c>
      <c r="R118" s="1" t="s">
        <v>170</v>
      </c>
      <c r="S118" s="1" t="s">
        <v>171</v>
      </c>
      <c r="T118" s="1"/>
      <c r="U118" s="1"/>
      <c r="V118" s="1"/>
      <c r="W118" s="1"/>
    </row>
    <row r="119" ht="12.75" customHeight="1" spans="1:23">
      <c r="A119" s="1" t="s">
        <v>292</v>
      </c>
      <c r="B119" s="1">
        <v>118</v>
      </c>
      <c r="C119" s="1" t="s">
        <v>16</v>
      </c>
      <c r="D119" s="1" t="s">
        <v>173</v>
      </c>
      <c r="E119" s="1" t="s">
        <v>74</v>
      </c>
      <c r="F119" s="1">
        <v>48200</v>
      </c>
      <c r="G119" s="1" t="s">
        <v>165</v>
      </c>
      <c r="H119" s="1" t="s">
        <v>165</v>
      </c>
      <c r="I119" s="1"/>
      <c r="J119" s="1"/>
      <c r="K119" s="1" t="s">
        <v>166</v>
      </c>
      <c r="L119" s="1" t="s">
        <v>167</v>
      </c>
      <c r="M119" s="1" t="s">
        <v>174</v>
      </c>
      <c r="N119" s="1" t="s">
        <v>21</v>
      </c>
      <c r="O119" s="1" t="s">
        <v>169</v>
      </c>
      <c r="P119" s="1" t="s">
        <v>15</v>
      </c>
      <c r="Q119" s="1" t="s">
        <v>165</v>
      </c>
      <c r="R119" s="1" t="s">
        <v>170</v>
      </c>
      <c r="S119" s="1" t="s">
        <v>171</v>
      </c>
      <c r="T119" s="1"/>
      <c r="U119" s="1"/>
      <c r="V119" s="1"/>
      <c r="W119" s="1"/>
    </row>
    <row r="120" ht="12.75" customHeight="1" spans="1:23">
      <c r="A120" s="1" t="s">
        <v>293</v>
      </c>
      <c r="B120" s="1">
        <v>119</v>
      </c>
      <c r="C120" s="1" t="s">
        <v>12</v>
      </c>
      <c r="D120" s="1" t="s">
        <v>39</v>
      </c>
      <c r="E120" s="1" t="s">
        <v>83</v>
      </c>
      <c r="F120" s="1">
        <v>256533</v>
      </c>
      <c r="G120" s="1" t="s">
        <v>165</v>
      </c>
      <c r="H120" s="1" t="s">
        <v>165</v>
      </c>
      <c r="I120" s="1"/>
      <c r="J120" s="1"/>
      <c r="K120" s="1" t="s">
        <v>166</v>
      </c>
      <c r="L120" s="1" t="s">
        <v>167</v>
      </c>
      <c r="M120" s="1" t="s">
        <v>174</v>
      </c>
      <c r="N120" s="1" t="s">
        <v>21</v>
      </c>
      <c r="O120" s="1" t="s">
        <v>169</v>
      </c>
      <c r="P120" s="1" t="s">
        <v>15</v>
      </c>
      <c r="Q120" s="1" t="s">
        <v>165</v>
      </c>
      <c r="R120" s="1" t="s">
        <v>170</v>
      </c>
      <c r="S120" s="1" t="s">
        <v>171</v>
      </c>
      <c r="T120" s="1"/>
      <c r="U120" s="1"/>
      <c r="V120" s="1"/>
      <c r="W120" s="1"/>
    </row>
    <row r="121" ht="12.75" customHeight="1" spans="1:23">
      <c r="A121" s="1" t="s">
        <v>294</v>
      </c>
      <c r="B121" s="1">
        <v>120</v>
      </c>
      <c r="C121" s="1" t="s">
        <v>16</v>
      </c>
      <c r="D121" s="1" t="s">
        <v>173</v>
      </c>
      <c r="E121" s="1" t="s">
        <v>17</v>
      </c>
      <c r="F121" s="1">
        <v>68233</v>
      </c>
      <c r="G121" s="1" t="s">
        <v>165</v>
      </c>
      <c r="H121" s="1" t="s">
        <v>165</v>
      </c>
      <c r="I121" s="1"/>
      <c r="J121" s="1"/>
      <c r="K121" s="1" t="s">
        <v>166</v>
      </c>
      <c r="L121" s="1" t="s">
        <v>167</v>
      </c>
      <c r="M121" s="1" t="s">
        <v>174</v>
      </c>
      <c r="N121" s="1" t="s">
        <v>21</v>
      </c>
      <c r="O121" s="1" t="s">
        <v>169</v>
      </c>
      <c r="P121" s="1" t="s">
        <v>15</v>
      </c>
      <c r="Q121" s="1" t="s">
        <v>165</v>
      </c>
      <c r="R121" s="1" t="s">
        <v>170</v>
      </c>
      <c r="S121" s="1" t="s">
        <v>171</v>
      </c>
      <c r="T121" s="1"/>
      <c r="U121" s="1"/>
      <c r="V121" s="1"/>
      <c r="W121" s="1"/>
    </row>
    <row r="122" ht="12.75" customHeight="1" spans="1:23">
      <c r="A122" s="1" t="s">
        <v>295</v>
      </c>
      <c r="B122" s="1">
        <v>121</v>
      </c>
      <c r="C122" s="1" t="s">
        <v>12</v>
      </c>
      <c r="D122" s="1" t="s">
        <v>39</v>
      </c>
      <c r="E122" s="1" t="s">
        <v>84</v>
      </c>
      <c r="F122" s="1">
        <v>127300</v>
      </c>
      <c r="G122" s="1" t="s">
        <v>165</v>
      </c>
      <c r="H122" s="1" t="s">
        <v>165</v>
      </c>
      <c r="I122" s="1"/>
      <c r="J122" s="1"/>
      <c r="K122" s="1" t="s">
        <v>166</v>
      </c>
      <c r="L122" s="1" t="s">
        <v>167</v>
      </c>
      <c r="M122" s="1" t="s">
        <v>168</v>
      </c>
      <c r="N122" s="1" t="s">
        <v>42</v>
      </c>
      <c r="O122" s="1" t="s">
        <v>169</v>
      </c>
      <c r="P122" s="1" t="s">
        <v>15</v>
      </c>
      <c r="Q122" s="1" t="s">
        <v>165</v>
      </c>
      <c r="R122" s="1" t="s">
        <v>170</v>
      </c>
      <c r="S122" s="1" t="s">
        <v>171</v>
      </c>
      <c r="T122" s="1"/>
      <c r="U122" s="1"/>
      <c r="V122" s="1"/>
      <c r="W122" s="1"/>
    </row>
    <row r="123" ht="12.75" customHeight="1" spans="1:23">
      <c r="A123" s="1" t="s">
        <v>296</v>
      </c>
      <c r="B123" s="1">
        <v>122</v>
      </c>
      <c r="C123" s="1" t="s">
        <v>16</v>
      </c>
      <c r="D123" s="1" t="s">
        <v>173</v>
      </c>
      <c r="E123" s="1" t="s">
        <v>74</v>
      </c>
      <c r="F123" s="1">
        <v>41667</v>
      </c>
      <c r="G123" s="1" t="s">
        <v>165</v>
      </c>
      <c r="H123" s="1" t="s">
        <v>165</v>
      </c>
      <c r="I123" s="1"/>
      <c r="J123" s="1"/>
      <c r="K123" s="1" t="s">
        <v>166</v>
      </c>
      <c r="L123" s="1" t="s">
        <v>167</v>
      </c>
      <c r="M123" s="1" t="s">
        <v>174</v>
      </c>
      <c r="N123" s="1" t="s">
        <v>21</v>
      </c>
      <c r="O123" s="1" t="s">
        <v>169</v>
      </c>
      <c r="P123" s="1" t="s">
        <v>15</v>
      </c>
      <c r="Q123" s="1" t="s">
        <v>165</v>
      </c>
      <c r="R123" s="1" t="s">
        <v>170</v>
      </c>
      <c r="S123" s="1" t="s">
        <v>171</v>
      </c>
      <c r="T123" s="1"/>
      <c r="U123" s="1"/>
      <c r="V123" s="1"/>
      <c r="W123" s="1"/>
    </row>
    <row r="124" ht="12.75" customHeight="1" spans="1:23">
      <c r="A124" s="1" t="s">
        <v>297</v>
      </c>
      <c r="B124" s="1">
        <v>123</v>
      </c>
      <c r="C124" s="1" t="s">
        <v>12</v>
      </c>
      <c r="D124" s="1" t="s">
        <v>39</v>
      </c>
      <c r="E124" s="1" t="s">
        <v>85</v>
      </c>
      <c r="F124" s="1">
        <v>114567</v>
      </c>
      <c r="G124" s="1" t="s">
        <v>165</v>
      </c>
      <c r="H124" s="1" t="s">
        <v>165</v>
      </c>
      <c r="I124" s="1"/>
      <c r="J124" s="1"/>
      <c r="K124" s="1" t="s">
        <v>166</v>
      </c>
      <c r="L124" s="1" t="s">
        <v>167</v>
      </c>
      <c r="M124" s="1" t="s">
        <v>174</v>
      </c>
      <c r="N124" s="1" t="s">
        <v>21</v>
      </c>
      <c r="O124" s="1" t="s">
        <v>169</v>
      </c>
      <c r="P124" s="1" t="s">
        <v>15</v>
      </c>
      <c r="Q124" s="1" t="s">
        <v>165</v>
      </c>
      <c r="R124" s="1" t="s">
        <v>170</v>
      </c>
      <c r="S124" s="1" t="s">
        <v>171</v>
      </c>
      <c r="T124" s="1"/>
      <c r="U124" s="1"/>
      <c r="V124" s="1"/>
      <c r="W124" s="1"/>
    </row>
    <row r="125" ht="12.75" customHeight="1" spans="1:23">
      <c r="A125" s="1" t="s">
        <v>298</v>
      </c>
      <c r="B125" s="1">
        <v>124</v>
      </c>
      <c r="C125" s="1" t="s">
        <v>16</v>
      </c>
      <c r="D125" s="1" t="s">
        <v>173</v>
      </c>
      <c r="E125" s="1" t="s">
        <v>74</v>
      </c>
      <c r="F125" s="1">
        <v>18733</v>
      </c>
      <c r="G125" s="1" t="s">
        <v>165</v>
      </c>
      <c r="H125" s="1" t="s">
        <v>165</v>
      </c>
      <c r="I125" s="1"/>
      <c r="J125" s="1"/>
      <c r="K125" s="1" t="s">
        <v>166</v>
      </c>
      <c r="L125" s="1" t="s">
        <v>167</v>
      </c>
      <c r="M125" s="1" t="s">
        <v>174</v>
      </c>
      <c r="N125" s="1" t="s">
        <v>21</v>
      </c>
      <c r="O125" s="1" t="s">
        <v>169</v>
      </c>
      <c r="P125" s="1" t="s">
        <v>15</v>
      </c>
      <c r="Q125" s="1" t="s">
        <v>165</v>
      </c>
      <c r="R125" s="1" t="s">
        <v>170</v>
      </c>
      <c r="S125" s="1" t="s">
        <v>171</v>
      </c>
      <c r="T125" s="1"/>
      <c r="U125" s="1"/>
      <c r="V125" s="1"/>
      <c r="W125" s="1"/>
    </row>
    <row r="126" ht="12.75" customHeight="1" spans="1:23">
      <c r="A126" s="1" t="s">
        <v>299</v>
      </c>
      <c r="B126" s="1">
        <v>125</v>
      </c>
      <c r="C126" s="1" t="s">
        <v>12</v>
      </c>
      <c r="D126" s="1" t="s">
        <v>39</v>
      </c>
      <c r="E126" s="1" t="s">
        <v>86</v>
      </c>
      <c r="F126" s="1">
        <v>130167</v>
      </c>
      <c r="G126" s="1" t="s">
        <v>165</v>
      </c>
      <c r="H126" s="1" t="s">
        <v>165</v>
      </c>
      <c r="I126" s="1"/>
      <c r="J126" s="1"/>
      <c r="K126" s="1" t="s">
        <v>166</v>
      </c>
      <c r="L126" s="1" t="s">
        <v>167</v>
      </c>
      <c r="M126" s="1" t="s">
        <v>174</v>
      </c>
      <c r="N126" s="1" t="s">
        <v>21</v>
      </c>
      <c r="O126" s="1" t="s">
        <v>169</v>
      </c>
      <c r="P126" s="1" t="s">
        <v>15</v>
      </c>
      <c r="Q126" s="1" t="s">
        <v>165</v>
      </c>
      <c r="R126" s="1" t="s">
        <v>170</v>
      </c>
      <c r="S126" s="1" t="s">
        <v>171</v>
      </c>
      <c r="T126" s="1"/>
      <c r="U126" s="1"/>
      <c r="V126" s="1"/>
      <c r="W126" s="1"/>
    </row>
    <row r="127" ht="12.75" customHeight="1" spans="1:23">
      <c r="A127" s="1" t="s">
        <v>300</v>
      </c>
      <c r="B127" s="1">
        <v>126</v>
      </c>
      <c r="C127" s="1" t="s">
        <v>16</v>
      </c>
      <c r="D127" s="1" t="s">
        <v>173</v>
      </c>
      <c r="E127" s="1" t="s">
        <v>74</v>
      </c>
      <c r="F127" s="1">
        <v>44700</v>
      </c>
      <c r="G127" s="1" t="s">
        <v>165</v>
      </c>
      <c r="H127" s="1" t="s">
        <v>165</v>
      </c>
      <c r="I127" s="1"/>
      <c r="J127" s="1"/>
      <c r="K127" s="1" t="s">
        <v>166</v>
      </c>
      <c r="L127" s="1" t="s">
        <v>167</v>
      </c>
      <c r="M127" s="1" t="s">
        <v>174</v>
      </c>
      <c r="N127" s="1" t="s">
        <v>21</v>
      </c>
      <c r="O127" s="1" t="s">
        <v>169</v>
      </c>
      <c r="P127" s="1" t="s">
        <v>15</v>
      </c>
      <c r="Q127" s="1" t="s">
        <v>165</v>
      </c>
      <c r="R127" s="1" t="s">
        <v>170</v>
      </c>
      <c r="S127" s="1" t="s">
        <v>171</v>
      </c>
      <c r="T127" s="1"/>
      <c r="U127" s="1"/>
      <c r="V127" s="1"/>
      <c r="W127" s="1"/>
    </row>
    <row r="128" ht="12.75" customHeight="1" spans="1:23">
      <c r="A128" s="1" t="s">
        <v>301</v>
      </c>
      <c r="B128" s="1">
        <v>127</v>
      </c>
      <c r="C128" s="1" t="s">
        <v>12</v>
      </c>
      <c r="D128" s="1" t="s">
        <v>39</v>
      </c>
      <c r="E128" s="1" t="s">
        <v>87</v>
      </c>
      <c r="F128" s="1">
        <v>1494000</v>
      </c>
      <c r="G128" s="1" t="s">
        <v>165</v>
      </c>
      <c r="H128" s="1" t="s">
        <v>165</v>
      </c>
      <c r="I128" s="1"/>
      <c r="J128" s="1"/>
      <c r="K128" s="1" t="s">
        <v>166</v>
      </c>
      <c r="L128" s="1" t="s">
        <v>167</v>
      </c>
      <c r="M128" s="1" t="s">
        <v>174</v>
      </c>
      <c r="N128" s="1" t="s">
        <v>21</v>
      </c>
      <c r="O128" s="1" t="s">
        <v>169</v>
      </c>
      <c r="P128" s="1" t="s">
        <v>15</v>
      </c>
      <c r="Q128" s="1" t="s">
        <v>165</v>
      </c>
      <c r="R128" s="1" t="s">
        <v>170</v>
      </c>
      <c r="S128" s="1" t="s">
        <v>171</v>
      </c>
      <c r="T128" s="1"/>
      <c r="U128" s="1"/>
      <c r="V128" s="1"/>
      <c r="W128" s="1"/>
    </row>
    <row r="129" ht="12.75" customHeight="1" spans="1:23">
      <c r="A129" s="1" t="s">
        <v>302</v>
      </c>
      <c r="B129" s="1">
        <v>128</v>
      </c>
      <c r="C129" s="1" t="s">
        <v>16</v>
      </c>
      <c r="D129" s="1" t="s">
        <v>173</v>
      </c>
      <c r="E129" s="1" t="s">
        <v>74</v>
      </c>
      <c r="F129" s="1">
        <v>147167</v>
      </c>
      <c r="G129" s="1" t="s">
        <v>165</v>
      </c>
      <c r="H129" s="1" t="s">
        <v>165</v>
      </c>
      <c r="I129" s="1"/>
      <c r="J129" s="1"/>
      <c r="K129" s="1" t="s">
        <v>166</v>
      </c>
      <c r="L129" s="1" t="s">
        <v>167</v>
      </c>
      <c r="M129" s="1" t="s">
        <v>174</v>
      </c>
      <c r="N129" s="1" t="s">
        <v>21</v>
      </c>
      <c r="O129" s="1" t="s">
        <v>169</v>
      </c>
      <c r="P129" s="1" t="s">
        <v>15</v>
      </c>
      <c r="Q129" s="1" t="s">
        <v>165</v>
      </c>
      <c r="R129" s="1" t="s">
        <v>170</v>
      </c>
      <c r="S129" s="1" t="s">
        <v>171</v>
      </c>
      <c r="T129" s="1"/>
      <c r="U129" s="1"/>
      <c r="V129" s="1"/>
      <c r="W129" s="1"/>
    </row>
    <row r="130" ht="12.75" customHeight="1" spans="1:23">
      <c r="A130" s="1" t="s">
        <v>303</v>
      </c>
      <c r="B130" s="1">
        <v>129</v>
      </c>
      <c r="C130" s="1" t="s">
        <v>12</v>
      </c>
      <c r="D130" s="1" t="s">
        <v>39</v>
      </c>
      <c r="E130" s="1" t="s">
        <v>88</v>
      </c>
      <c r="F130" s="1">
        <v>148267</v>
      </c>
      <c r="G130" s="1" t="s">
        <v>165</v>
      </c>
      <c r="H130" s="1" t="s">
        <v>165</v>
      </c>
      <c r="I130" s="1"/>
      <c r="J130" s="1"/>
      <c r="K130" s="1" t="s">
        <v>166</v>
      </c>
      <c r="L130" s="1" t="s">
        <v>167</v>
      </c>
      <c r="M130" s="1" t="s">
        <v>174</v>
      </c>
      <c r="N130" s="1" t="s">
        <v>21</v>
      </c>
      <c r="O130" s="1" t="s">
        <v>169</v>
      </c>
      <c r="P130" s="1" t="s">
        <v>15</v>
      </c>
      <c r="Q130" s="1" t="s">
        <v>165</v>
      </c>
      <c r="R130" s="1" t="s">
        <v>170</v>
      </c>
      <c r="S130" s="1" t="s">
        <v>171</v>
      </c>
      <c r="T130" s="1"/>
      <c r="U130" s="1"/>
      <c r="V130" s="1"/>
      <c r="W130" s="1"/>
    </row>
    <row r="131" ht="12.75" customHeight="1" spans="1:23">
      <c r="A131" s="1" t="s">
        <v>304</v>
      </c>
      <c r="B131" s="1">
        <v>130</v>
      </c>
      <c r="C131" s="1" t="s">
        <v>16</v>
      </c>
      <c r="D131" s="1" t="s">
        <v>173</v>
      </c>
      <c r="E131" s="1" t="s">
        <v>74</v>
      </c>
      <c r="F131" s="1">
        <v>76200</v>
      </c>
      <c r="G131" s="1" t="s">
        <v>165</v>
      </c>
      <c r="H131" s="1" t="s">
        <v>165</v>
      </c>
      <c r="I131" s="1"/>
      <c r="J131" s="1"/>
      <c r="K131" s="1" t="s">
        <v>166</v>
      </c>
      <c r="L131" s="1" t="s">
        <v>167</v>
      </c>
      <c r="M131" s="1" t="s">
        <v>174</v>
      </c>
      <c r="N131" s="1" t="s">
        <v>21</v>
      </c>
      <c r="O131" s="1" t="s">
        <v>169</v>
      </c>
      <c r="P131" s="1" t="s">
        <v>15</v>
      </c>
      <c r="Q131" s="1" t="s">
        <v>165</v>
      </c>
      <c r="R131" s="1" t="s">
        <v>170</v>
      </c>
      <c r="S131" s="1" t="s">
        <v>171</v>
      </c>
      <c r="T131" s="1"/>
      <c r="U131" s="1"/>
      <c r="V131" s="1"/>
      <c r="W131" s="1"/>
    </row>
    <row r="132" ht="12.75" customHeight="1" spans="1:23">
      <c r="A132" s="1" t="s">
        <v>305</v>
      </c>
      <c r="B132" s="1">
        <v>131</v>
      </c>
      <c r="C132" s="1" t="s">
        <v>12</v>
      </c>
      <c r="D132" s="1" t="s">
        <v>39</v>
      </c>
      <c r="E132" s="1" t="s">
        <v>89</v>
      </c>
      <c r="F132" s="1">
        <v>69600</v>
      </c>
      <c r="G132" s="1" t="s">
        <v>165</v>
      </c>
      <c r="H132" s="1" t="s">
        <v>165</v>
      </c>
      <c r="I132" s="1"/>
      <c r="J132" s="1"/>
      <c r="K132" s="1" t="s">
        <v>166</v>
      </c>
      <c r="L132" s="1" t="s">
        <v>167</v>
      </c>
      <c r="M132" s="1" t="s">
        <v>174</v>
      </c>
      <c r="N132" s="1" t="s">
        <v>21</v>
      </c>
      <c r="O132" s="1" t="s">
        <v>169</v>
      </c>
      <c r="P132" s="1" t="s">
        <v>15</v>
      </c>
      <c r="Q132" s="1" t="s">
        <v>165</v>
      </c>
      <c r="R132" s="1" t="s">
        <v>170</v>
      </c>
      <c r="S132" s="1" t="s">
        <v>171</v>
      </c>
      <c r="T132" s="1"/>
      <c r="U132" s="1"/>
      <c r="V132" s="1"/>
      <c r="W132" s="1"/>
    </row>
    <row r="133" ht="12.75" customHeight="1" spans="1:23">
      <c r="A133" s="1" t="s">
        <v>306</v>
      </c>
      <c r="B133" s="1">
        <v>132</v>
      </c>
      <c r="C133" s="1" t="s">
        <v>16</v>
      </c>
      <c r="D133" s="1" t="s">
        <v>173</v>
      </c>
      <c r="E133" s="1" t="s">
        <v>74</v>
      </c>
      <c r="F133" s="1">
        <v>35000</v>
      </c>
      <c r="G133" s="1" t="s">
        <v>165</v>
      </c>
      <c r="H133" s="1" t="s">
        <v>165</v>
      </c>
      <c r="I133" s="1"/>
      <c r="J133" s="1"/>
      <c r="K133" s="1" t="s">
        <v>166</v>
      </c>
      <c r="L133" s="1" t="s">
        <v>167</v>
      </c>
      <c r="M133" s="1" t="s">
        <v>174</v>
      </c>
      <c r="N133" s="1" t="s">
        <v>21</v>
      </c>
      <c r="O133" s="1" t="s">
        <v>169</v>
      </c>
      <c r="P133" s="1" t="s">
        <v>15</v>
      </c>
      <c r="Q133" s="1" t="s">
        <v>165</v>
      </c>
      <c r="R133" s="1" t="s">
        <v>170</v>
      </c>
      <c r="S133" s="1" t="s">
        <v>171</v>
      </c>
      <c r="T133" s="1"/>
      <c r="U133" s="1"/>
      <c r="V133" s="1"/>
      <c r="W133" s="1"/>
    </row>
    <row r="134" ht="12.75" customHeight="1" spans="1:23">
      <c r="A134" s="1" t="s">
        <v>307</v>
      </c>
      <c r="B134" s="1">
        <v>133</v>
      </c>
      <c r="C134" s="1" t="s">
        <v>12</v>
      </c>
      <c r="D134" s="1" t="s">
        <v>39</v>
      </c>
      <c r="E134" s="1" t="s">
        <v>90</v>
      </c>
      <c r="F134" s="1">
        <v>91900</v>
      </c>
      <c r="G134" s="1" t="s">
        <v>165</v>
      </c>
      <c r="H134" s="1" t="s">
        <v>165</v>
      </c>
      <c r="I134" s="1"/>
      <c r="J134" s="1"/>
      <c r="K134" s="1" t="s">
        <v>166</v>
      </c>
      <c r="L134" s="1" t="s">
        <v>167</v>
      </c>
      <c r="M134" s="1" t="s">
        <v>174</v>
      </c>
      <c r="N134" s="1" t="s">
        <v>21</v>
      </c>
      <c r="O134" s="1" t="s">
        <v>169</v>
      </c>
      <c r="P134" s="1" t="s">
        <v>15</v>
      </c>
      <c r="Q134" s="1" t="s">
        <v>165</v>
      </c>
      <c r="R134" s="1" t="s">
        <v>170</v>
      </c>
      <c r="S134" s="1" t="s">
        <v>171</v>
      </c>
      <c r="T134" s="1"/>
      <c r="U134" s="1"/>
      <c r="V134" s="1"/>
      <c r="W134" s="1"/>
    </row>
    <row r="135" ht="12.75" customHeight="1" spans="1:23">
      <c r="A135" s="1" t="s">
        <v>308</v>
      </c>
      <c r="B135" s="1">
        <v>134</v>
      </c>
      <c r="C135" s="1" t="s">
        <v>16</v>
      </c>
      <c r="D135" s="1" t="s">
        <v>173</v>
      </c>
      <c r="E135" s="1" t="s">
        <v>74</v>
      </c>
      <c r="F135" s="1">
        <v>50600</v>
      </c>
      <c r="G135" s="1" t="s">
        <v>165</v>
      </c>
      <c r="H135" s="1" t="s">
        <v>165</v>
      </c>
      <c r="I135" s="1"/>
      <c r="J135" s="1"/>
      <c r="K135" s="1" t="s">
        <v>166</v>
      </c>
      <c r="L135" s="1" t="s">
        <v>167</v>
      </c>
      <c r="M135" s="1" t="s">
        <v>174</v>
      </c>
      <c r="N135" s="1" t="s">
        <v>21</v>
      </c>
      <c r="O135" s="1" t="s">
        <v>169</v>
      </c>
      <c r="P135" s="1" t="s">
        <v>15</v>
      </c>
      <c r="Q135" s="1" t="s">
        <v>165</v>
      </c>
      <c r="R135" s="1" t="s">
        <v>170</v>
      </c>
      <c r="S135" s="1" t="s">
        <v>171</v>
      </c>
      <c r="T135" s="1"/>
      <c r="U135" s="1"/>
      <c r="V135" s="1"/>
      <c r="W135" s="1"/>
    </row>
    <row r="136" ht="12.75" customHeight="1" spans="1:23">
      <c r="A136" s="1" t="s">
        <v>309</v>
      </c>
      <c r="B136" s="1">
        <v>135</v>
      </c>
      <c r="C136" s="1" t="s">
        <v>12</v>
      </c>
      <c r="D136" s="1" t="s">
        <v>39</v>
      </c>
      <c r="E136" s="1" t="s">
        <v>91</v>
      </c>
      <c r="F136" s="1">
        <v>78533</v>
      </c>
      <c r="G136" s="1" t="s">
        <v>165</v>
      </c>
      <c r="H136" s="1" t="s">
        <v>165</v>
      </c>
      <c r="I136" s="1"/>
      <c r="J136" s="1"/>
      <c r="K136" s="1" t="s">
        <v>166</v>
      </c>
      <c r="L136" s="1" t="s">
        <v>167</v>
      </c>
      <c r="M136" s="1" t="s">
        <v>174</v>
      </c>
      <c r="N136" s="1" t="s">
        <v>21</v>
      </c>
      <c r="O136" s="1" t="s">
        <v>169</v>
      </c>
      <c r="P136" s="1" t="s">
        <v>15</v>
      </c>
      <c r="Q136" s="1" t="s">
        <v>165</v>
      </c>
      <c r="R136" s="1" t="s">
        <v>170</v>
      </c>
      <c r="S136" s="1" t="s">
        <v>171</v>
      </c>
      <c r="T136" s="1"/>
      <c r="U136" s="1"/>
      <c r="V136" s="1"/>
      <c r="W136" s="1"/>
    </row>
    <row r="137" ht="12.75" customHeight="1" spans="1:23">
      <c r="A137" s="1" t="s">
        <v>310</v>
      </c>
      <c r="B137" s="1">
        <v>136</v>
      </c>
      <c r="C137" s="1" t="s">
        <v>16</v>
      </c>
      <c r="D137" s="1" t="s">
        <v>173</v>
      </c>
      <c r="E137" s="1" t="s">
        <v>17</v>
      </c>
      <c r="F137" s="1">
        <v>29200</v>
      </c>
      <c r="G137" s="1" t="s">
        <v>165</v>
      </c>
      <c r="H137" s="1" t="s">
        <v>165</v>
      </c>
      <c r="I137" s="1"/>
      <c r="J137" s="1"/>
      <c r="K137" s="1" t="s">
        <v>166</v>
      </c>
      <c r="L137" s="1" t="s">
        <v>167</v>
      </c>
      <c r="M137" s="1" t="s">
        <v>174</v>
      </c>
      <c r="N137" s="1" t="s">
        <v>21</v>
      </c>
      <c r="O137" s="1" t="s">
        <v>169</v>
      </c>
      <c r="P137" s="1" t="s">
        <v>15</v>
      </c>
      <c r="Q137" s="1" t="s">
        <v>165</v>
      </c>
      <c r="R137" s="1" t="s">
        <v>170</v>
      </c>
      <c r="S137" s="1" t="s">
        <v>171</v>
      </c>
      <c r="T137" s="1"/>
      <c r="U137" s="1"/>
      <c r="V137" s="1"/>
      <c r="W137" s="1"/>
    </row>
    <row r="138" ht="12.75" customHeight="1" spans="1:23">
      <c r="A138" s="1" t="s">
        <v>311</v>
      </c>
      <c r="B138" s="1">
        <v>137</v>
      </c>
      <c r="C138" s="1" t="s">
        <v>12</v>
      </c>
      <c r="D138" s="1" t="s">
        <v>39</v>
      </c>
      <c r="E138" s="1" t="s">
        <v>92</v>
      </c>
      <c r="F138" s="1">
        <v>71300</v>
      </c>
      <c r="G138" s="1" t="s">
        <v>165</v>
      </c>
      <c r="H138" s="1" t="s">
        <v>165</v>
      </c>
      <c r="I138" s="1"/>
      <c r="J138" s="1"/>
      <c r="K138" s="1" t="s">
        <v>166</v>
      </c>
      <c r="L138" s="1" t="s">
        <v>167</v>
      </c>
      <c r="M138" s="1" t="s">
        <v>174</v>
      </c>
      <c r="N138" s="1" t="s">
        <v>21</v>
      </c>
      <c r="O138" s="1" t="s">
        <v>169</v>
      </c>
      <c r="P138" s="1" t="s">
        <v>15</v>
      </c>
      <c r="Q138" s="1" t="s">
        <v>165</v>
      </c>
      <c r="R138" s="1" t="s">
        <v>170</v>
      </c>
      <c r="S138" s="1" t="s">
        <v>171</v>
      </c>
      <c r="T138" s="1"/>
      <c r="U138" s="1"/>
      <c r="V138" s="1"/>
      <c r="W138" s="1"/>
    </row>
    <row r="139" ht="12.75" customHeight="1" spans="1:23">
      <c r="A139" s="1" t="s">
        <v>312</v>
      </c>
      <c r="B139" s="1">
        <v>138</v>
      </c>
      <c r="C139" s="1" t="s">
        <v>16</v>
      </c>
      <c r="D139" s="1" t="s">
        <v>173</v>
      </c>
      <c r="E139" s="1" t="s">
        <v>74</v>
      </c>
      <c r="F139" s="1">
        <v>29767</v>
      </c>
      <c r="G139" s="1" t="s">
        <v>165</v>
      </c>
      <c r="H139" s="1" t="s">
        <v>165</v>
      </c>
      <c r="I139" s="1"/>
      <c r="J139" s="1"/>
      <c r="K139" s="1" t="s">
        <v>166</v>
      </c>
      <c r="L139" s="1" t="s">
        <v>167</v>
      </c>
      <c r="M139" s="1" t="s">
        <v>174</v>
      </c>
      <c r="N139" s="1" t="s">
        <v>21</v>
      </c>
      <c r="O139" s="1" t="s">
        <v>169</v>
      </c>
      <c r="P139" s="1" t="s">
        <v>15</v>
      </c>
      <c r="Q139" s="1" t="s">
        <v>165</v>
      </c>
      <c r="R139" s="1" t="s">
        <v>170</v>
      </c>
      <c r="S139" s="1" t="s">
        <v>171</v>
      </c>
      <c r="T139" s="1"/>
      <c r="U139" s="1"/>
      <c r="V139" s="1"/>
      <c r="W139" s="1"/>
    </row>
    <row r="140" ht="12.75" customHeight="1" spans="1:23">
      <c r="A140" s="1" t="s">
        <v>313</v>
      </c>
      <c r="B140" s="1">
        <v>139</v>
      </c>
      <c r="C140" s="1" t="s">
        <v>12</v>
      </c>
      <c r="D140" s="1" t="s">
        <v>39</v>
      </c>
      <c r="E140" s="1" t="s">
        <v>93</v>
      </c>
      <c r="F140" s="1">
        <v>71167</v>
      </c>
      <c r="G140" s="1" t="s">
        <v>165</v>
      </c>
      <c r="H140" s="1" t="s">
        <v>165</v>
      </c>
      <c r="I140" s="1"/>
      <c r="J140" s="1"/>
      <c r="K140" s="1" t="s">
        <v>166</v>
      </c>
      <c r="L140" s="1" t="s">
        <v>167</v>
      </c>
      <c r="M140" s="1" t="s">
        <v>174</v>
      </c>
      <c r="N140" s="1" t="s">
        <v>21</v>
      </c>
      <c r="O140" s="1" t="s">
        <v>169</v>
      </c>
      <c r="P140" s="1" t="s">
        <v>15</v>
      </c>
      <c r="Q140" s="1" t="s">
        <v>165</v>
      </c>
      <c r="R140" s="1" t="s">
        <v>170</v>
      </c>
      <c r="S140" s="1" t="s">
        <v>171</v>
      </c>
      <c r="T140" s="1"/>
      <c r="U140" s="1"/>
      <c r="V140" s="1"/>
      <c r="W140" s="1"/>
    </row>
    <row r="141" ht="12.75" customHeight="1" spans="1:23">
      <c r="A141" s="1" t="s">
        <v>314</v>
      </c>
      <c r="B141" s="1">
        <v>140</v>
      </c>
      <c r="C141" s="1" t="s">
        <v>16</v>
      </c>
      <c r="D141" s="1" t="s">
        <v>173</v>
      </c>
      <c r="E141" s="1" t="s">
        <v>74</v>
      </c>
      <c r="F141" s="1">
        <v>29633</v>
      </c>
      <c r="G141" s="1" t="s">
        <v>165</v>
      </c>
      <c r="H141" s="1" t="s">
        <v>165</v>
      </c>
      <c r="I141" s="1"/>
      <c r="J141" s="1"/>
      <c r="K141" s="1" t="s">
        <v>166</v>
      </c>
      <c r="L141" s="1" t="s">
        <v>167</v>
      </c>
      <c r="M141" s="1" t="s">
        <v>174</v>
      </c>
      <c r="N141" s="1" t="s">
        <v>21</v>
      </c>
      <c r="O141" s="1" t="s">
        <v>169</v>
      </c>
      <c r="P141" s="1" t="s">
        <v>15</v>
      </c>
      <c r="Q141" s="1" t="s">
        <v>165</v>
      </c>
      <c r="R141" s="1" t="s">
        <v>170</v>
      </c>
      <c r="S141" s="1" t="s">
        <v>171</v>
      </c>
      <c r="T141" s="1"/>
      <c r="U141" s="1"/>
      <c r="V141" s="1"/>
      <c r="W141" s="1"/>
    </row>
    <row r="142" ht="12.75" customHeight="1" spans="1:23">
      <c r="A142" s="1" t="s">
        <v>315</v>
      </c>
      <c r="B142" s="1">
        <v>141</v>
      </c>
      <c r="C142" s="1" t="s">
        <v>12</v>
      </c>
      <c r="D142" s="1" t="s">
        <v>39</v>
      </c>
      <c r="E142" s="1" t="s">
        <v>94</v>
      </c>
      <c r="F142" s="1">
        <v>57467</v>
      </c>
      <c r="G142" s="1" t="s">
        <v>165</v>
      </c>
      <c r="H142" s="1" t="s">
        <v>165</v>
      </c>
      <c r="I142" s="1"/>
      <c r="J142" s="1"/>
      <c r="K142" s="1" t="s">
        <v>166</v>
      </c>
      <c r="L142" s="1" t="s">
        <v>167</v>
      </c>
      <c r="M142" s="1" t="s">
        <v>174</v>
      </c>
      <c r="N142" s="1" t="s">
        <v>21</v>
      </c>
      <c r="O142" s="1" t="s">
        <v>169</v>
      </c>
      <c r="P142" s="1" t="s">
        <v>15</v>
      </c>
      <c r="Q142" s="1" t="s">
        <v>165</v>
      </c>
      <c r="R142" s="1" t="s">
        <v>170</v>
      </c>
      <c r="S142" s="1" t="s">
        <v>171</v>
      </c>
      <c r="T142" s="1"/>
      <c r="U142" s="1"/>
      <c r="V142" s="1"/>
      <c r="W142" s="1"/>
    </row>
    <row r="143" ht="12.75" customHeight="1" spans="1:23">
      <c r="A143" s="1" t="s">
        <v>316</v>
      </c>
      <c r="B143" s="1">
        <v>142</v>
      </c>
      <c r="C143" s="1" t="s">
        <v>16</v>
      </c>
      <c r="D143" s="1" t="s">
        <v>173</v>
      </c>
      <c r="E143" s="1" t="s">
        <v>74</v>
      </c>
      <c r="F143" s="1">
        <v>22600</v>
      </c>
      <c r="G143" s="1" t="s">
        <v>165</v>
      </c>
      <c r="H143" s="1" t="s">
        <v>165</v>
      </c>
      <c r="I143" s="1"/>
      <c r="J143" s="1"/>
      <c r="K143" s="1" t="s">
        <v>166</v>
      </c>
      <c r="L143" s="1" t="s">
        <v>167</v>
      </c>
      <c r="M143" s="1" t="s">
        <v>174</v>
      </c>
      <c r="N143" s="1" t="s">
        <v>21</v>
      </c>
      <c r="O143" s="1" t="s">
        <v>169</v>
      </c>
      <c r="P143" s="1" t="s">
        <v>15</v>
      </c>
      <c r="Q143" s="1" t="s">
        <v>165</v>
      </c>
      <c r="R143" s="1" t="s">
        <v>170</v>
      </c>
      <c r="S143" s="1" t="s">
        <v>171</v>
      </c>
      <c r="T143" s="1"/>
      <c r="U143" s="1"/>
      <c r="V143" s="1"/>
      <c r="W143" s="1"/>
    </row>
    <row r="144" ht="12.75" customHeight="1" spans="1:23">
      <c r="A144" s="1" t="s">
        <v>317</v>
      </c>
      <c r="B144" s="1">
        <v>143</v>
      </c>
      <c r="C144" s="1" t="s">
        <v>12</v>
      </c>
      <c r="D144" s="1" t="s">
        <v>39</v>
      </c>
      <c r="E144" s="1" t="s">
        <v>95</v>
      </c>
      <c r="F144" s="1">
        <v>83267</v>
      </c>
      <c r="G144" s="1" t="s">
        <v>165</v>
      </c>
      <c r="H144" s="1" t="s">
        <v>165</v>
      </c>
      <c r="I144" s="1"/>
      <c r="J144" s="1"/>
      <c r="K144" s="1" t="s">
        <v>166</v>
      </c>
      <c r="L144" s="1" t="s">
        <v>167</v>
      </c>
      <c r="M144" s="1" t="s">
        <v>174</v>
      </c>
      <c r="N144" s="1" t="s">
        <v>21</v>
      </c>
      <c r="O144" s="1" t="s">
        <v>169</v>
      </c>
      <c r="P144" s="1" t="s">
        <v>15</v>
      </c>
      <c r="Q144" s="1" t="s">
        <v>165</v>
      </c>
      <c r="R144" s="1" t="s">
        <v>170</v>
      </c>
      <c r="S144" s="1" t="s">
        <v>171</v>
      </c>
      <c r="T144" s="1"/>
      <c r="U144" s="1"/>
      <c r="V144" s="1"/>
      <c r="W144" s="1"/>
    </row>
    <row r="145" ht="12.75" customHeight="1" spans="1:23">
      <c r="A145" s="1" t="s">
        <v>318</v>
      </c>
      <c r="B145" s="1">
        <v>144</v>
      </c>
      <c r="C145" s="1" t="s">
        <v>16</v>
      </c>
      <c r="D145" s="1" t="s">
        <v>173</v>
      </c>
      <c r="E145" s="1" t="s">
        <v>74</v>
      </c>
      <c r="F145" s="1">
        <v>48600</v>
      </c>
      <c r="G145" s="1" t="s">
        <v>165</v>
      </c>
      <c r="H145" s="1" t="s">
        <v>165</v>
      </c>
      <c r="I145" s="1"/>
      <c r="J145" s="1"/>
      <c r="K145" s="1" t="s">
        <v>166</v>
      </c>
      <c r="L145" s="1" t="s">
        <v>167</v>
      </c>
      <c r="M145" s="1" t="s">
        <v>174</v>
      </c>
      <c r="N145" s="1" t="s">
        <v>21</v>
      </c>
      <c r="O145" s="1" t="s">
        <v>169</v>
      </c>
      <c r="P145" s="1" t="s">
        <v>15</v>
      </c>
      <c r="Q145" s="1" t="s">
        <v>165</v>
      </c>
      <c r="R145" s="1" t="s">
        <v>170</v>
      </c>
      <c r="S145" s="1" t="s">
        <v>171</v>
      </c>
      <c r="T145" s="1"/>
      <c r="U145" s="1"/>
      <c r="V145" s="1"/>
      <c r="W145" s="1"/>
    </row>
    <row r="146" ht="12.75" customHeight="1" spans="1:23">
      <c r="A146" s="1" t="s">
        <v>319</v>
      </c>
      <c r="B146" s="1">
        <v>145</v>
      </c>
      <c r="C146" s="1" t="s">
        <v>12</v>
      </c>
      <c r="D146" s="1" t="s">
        <v>39</v>
      </c>
      <c r="E146" s="1" t="s">
        <v>96</v>
      </c>
      <c r="F146" s="1">
        <v>68633</v>
      </c>
      <c r="G146" s="1" t="s">
        <v>165</v>
      </c>
      <c r="H146" s="1" t="s">
        <v>165</v>
      </c>
      <c r="I146" s="1"/>
      <c r="J146" s="1"/>
      <c r="K146" s="1" t="s">
        <v>166</v>
      </c>
      <c r="L146" s="1" t="s">
        <v>167</v>
      </c>
      <c r="M146" s="1" t="s">
        <v>174</v>
      </c>
      <c r="N146" s="1" t="s">
        <v>21</v>
      </c>
      <c r="O146" s="1" t="s">
        <v>169</v>
      </c>
      <c r="P146" s="1" t="s">
        <v>15</v>
      </c>
      <c r="Q146" s="1" t="s">
        <v>165</v>
      </c>
      <c r="R146" s="1" t="s">
        <v>170</v>
      </c>
      <c r="S146" s="1" t="s">
        <v>171</v>
      </c>
      <c r="T146" s="1"/>
      <c r="U146" s="1"/>
      <c r="V146" s="1"/>
      <c r="W146" s="1"/>
    </row>
    <row r="147" ht="12.75" customHeight="1" spans="1:23">
      <c r="A147" s="1" t="s">
        <v>320</v>
      </c>
      <c r="B147" s="1">
        <v>146</v>
      </c>
      <c r="C147" s="1" t="s">
        <v>16</v>
      </c>
      <c r="D147" s="1" t="s">
        <v>173</v>
      </c>
      <c r="E147" s="1" t="s">
        <v>74</v>
      </c>
      <c r="F147" s="1">
        <v>28800</v>
      </c>
      <c r="G147" s="1" t="s">
        <v>165</v>
      </c>
      <c r="H147" s="1" t="s">
        <v>165</v>
      </c>
      <c r="I147" s="1"/>
      <c r="J147" s="1"/>
      <c r="K147" s="1" t="s">
        <v>166</v>
      </c>
      <c r="L147" s="1" t="s">
        <v>167</v>
      </c>
      <c r="M147" s="1" t="s">
        <v>174</v>
      </c>
      <c r="N147" s="1" t="s">
        <v>21</v>
      </c>
      <c r="O147" s="1" t="s">
        <v>169</v>
      </c>
      <c r="P147" s="1" t="s">
        <v>15</v>
      </c>
      <c r="Q147" s="1" t="s">
        <v>165</v>
      </c>
      <c r="R147" s="1" t="s">
        <v>170</v>
      </c>
      <c r="S147" s="1" t="s">
        <v>171</v>
      </c>
      <c r="T147" s="1"/>
      <c r="U147" s="1"/>
      <c r="V147" s="1"/>
      <c r="W147" s="1"/>
    </row>
    <row r="148" ht="12.75" customHeight="1" spans="1:23">
      <c r="A148" s="1" t="s">
        <v>321</v>
      </c>
      <c r="B148" s="1">
        <v>147</v>
      </c>
      <c r="C148" s="1" t="s">
        <v>12</v>
      </c>
      <c r="D148" s="1" t="s">
        <v>39</v>
      </c>
      <c r="E148" s="1" t="s">
        <v>97</v>
      </c>
      <c r="F148" s="1">
        <v>57667</v>
      </c>
      <c r="G148" s="1" t="s">
        <v>165</v>
      </c>
      <c r="H148" s="1" t="s">
        <v>165</v>
      </c>
      <c r="I148" s="1"/>
      <c r="J148" s="1"/>
      <c r="K148" s="1" t="s">
        <v>166</v>
      </c>
      <c r="L148" s="1" t="s">
        <v>167</v>
      </c>
      <c r="M148" s="1" t="s">
        <v>174</v>
      </c>
      <c r="N148" s="1" t="s">
        <v>21</v>
      </c>
      <c r="O148" s="1" t="s">
        <v>169</v>
      </c>
      <c r="P148" s="1" t="s">
        <v>15</v>
      </c>
      <c r="Q148" s="1" t="s">
        <v>165</v>
      </c>
      <c r="R148" s="1" t="s">
        <v>170</v>
      </c>
      <c r="S148" s="1" t="s">
        <v>171</v>
      </c>
      <c r="T148" s="1"/>
      <c r="U148" s="1"/>
      <c r="V148" s="1"/>
      <c r="W148" s="1"/>
    </row>
    <row r="149" ht="12.75" customHeight="1" spans="1:23">
      <c r="A149" s="1" t="s">
        <v>322</v>
      </c>
      <c r="B149" s="1">
        <v>148</v>
      </c>
      <c r="C149" s="1" t="s">
        <v>16</v>
      </c>
      <c r="D149" s="1" t="s">
        <v>173</v>
      </c>
      <c r="E149" s="1" t="s">
        <v>74</v>
      </c>
      <c r="F149" s="1">
        <v>22600</v>
      </c>
      <c r="G149" s="1" t="s">
        <v>165</v>
      </c>
      <c r="H149" s="1" t="s">
        <v>165</v>
      </c>
      <c r="I149" s="1"/>
      <c r="J149" s="1"/>
      <c r="K149" s="1" t="s">
        <v>166</v>
      </c>
      <c r="L149" s="1" t="s">
        <v>167</v>
      </c>
      <c r="M149" s="1" t="s">
        <v>174</v>
      </c>
      <c r="N149" s="1" t="s">
        <v>21</v>
      </c>
      <c r="O149" s="1" t="s">
        <v>169</v>
      </c>
      <c r="P149" s="1" t="s">
        <v>15</v>
      </c>
      <c r="Q149" s="1" t="s">
        <v>165</v>
      </c>
      <c r="R149" s="1" t="s">
        <v>170</v>
      </c>
      <c r="S149" s="1" t="s">
        <v>171</v>
      </c>
      <c r="T149" s="1"/>
      <c r="U149" s="1"/>
      <c r="V149" s="1"/>
      <c r="W149" s="1"/>
    </row>
    <row r="150" ht="12.75" customHeight="1" spans="1:23">
      <c r="A150" s="1" t="s">
        <v>323</v>
      </c>
      <c r="B150" s="1">
        <v>149</v>
      </c>
      <c r="C150" s="1" t="s">
        <v>12</v>
      </c>
      <c r="D150" s="1" t="s">
        <v>39</v>
      </c>
      <c r="E150" s="1" t="s">
        <v>98</v>
      </c>
      <c r="F150" s="1">
        <v>173300</v>
      </c>
      <c r="G150" s="1" t="s">
        <v>165</v>
      </c>
      <c r="H150" s="1" t="s">
        <v>165</v>
      </c>
      <c r="I150" s="1"/>
      <c r="J150" s="1"/>
      <c r="K150" s="1" t="s">
        <v>166</v>
      </c>
      <c r="L150" s="1" t="s">
        <v>167</v>
      </c>
      <c r="M150" s="1" t="s">
        <v>174</v>
      </c>
      <c r="N150" s="1" t="s">
        <v>21</v>
      </c>
      <c r="O150" s="1" t="s">
        <v>169</v>
      </c>
      <c r="P150" s="1" t="s">
        <v>15</v>
      </c>
      <c r="Q150" s="1" t="s">
        <v>165</v>
      </c>
      <c r="R150" s="1" t="s">
        <v>170</v>
      </c>
      <c r="S150" s="1" t="s">
        <v>171</v>
      </c>
      <c r="T150" s="1"/>
      <c r="U150" s="1"/>
      <c r="V150" s="1"/>
      <c r="W150" s="1"/>
    </row>
    <row r="151" ht="12.75" customHeight="1" spans="1:23">
      <c r="A151" s="1" t="s">
        <v>324</v>
      </c>
      <c r="B151" s="1">
        <v>150</v>
      </c>
      <c r="C151" s="1" t="s">
        <v>16</v>
      </c>
      <c r="D151" s="1" t="s">
        <v>173</v>
      </c>
      <c r="E151" s="1" t="s">
        <v>74</v>
      </c>
      <c r="F151" s="1">
        <v>90767</v>
      </c>
      <c r="G151" s="1" t="s">
        <v>165</v>
      </c>
      <c r="H151" s="1" t="s">
        <v>165</v>
      </c>
      <c r="I151" s="1"/>
      <c r="J151" s="1"/>
      <c r="K151" s="1" t="s">
        <v>166</v>
      </c>
      <c r="L151" s="1" t="s">
        <v>167</v>
      </c>
      <c r="M151" s="1" t="s">
        <v>174</v>
      </c>
      <c r="N151" s="1" t="s">
        <v>21</v>
      </c>
      <c r="O151" s="1" t="s">
        <v>169</v>
      </c>
      <c r="P151" s="1" t="s">
        <v>15</v>
      </c>
      <c r="Q151" s="1" t="s">
        <v>165</v>
      </c>
      <c r="R151" s="1" t="s">
        <v>170</v>
      </c>
      <c r="S151" s="1" t="s">
        <v>171</v>
      </c>
      <c r="T151" s="1"/>
      <c r="U151" s="1"/>
      <c r="V151" s="1"/>
      <c r="W151" s="1"/>
    </row>
    <row r="152" ht="12.75" customHeight="1" spans="1:23">
      <c r="A152" s="1" t="s">
        <v>325</v>
      </c>
      <c r="B152" s="1">
        <v>151</v>
      </c>
      <c r="C152" s="1" t="s">
        <v>12</v>
      </c>
      <c r="D152" s="1" t="s">
        <v>39</v>
      </c>
      <c r="E152" s="1" t="s">
        <v>99</v>
      </c>
      <c r="F152" s="1">
        <v>82533</v>
      </c>
      <c r="G152" s="1" t="s">
        <v>165</v>
      </c>
      <c r="H152" s="1" t="s">
        <v>165</v>
      </c>
      <c r="I152" s="1"/>
      <c r="J152" s="1"/>
      <c r="K152" s="1" t="s">
        <v>166</v>
      </c>
      <c r="L152" s="1" t="s">
        <v>167</v>
      </c>
      <c r="M152" s="1" t="s">
        <v>174</v>
      </c>
      <c r="N152" s="1" t="s">
        <v>21</v>
      </c>
      <c r="O152" s="1" t="s">
        <v>169</v>
      </c>
      <c r="P152" s="1" t="s">
        <v>15</v>
      </c>
      <c r="Q152" s="1" t="s">
        <v>165</v>
      </c>
      <c r="R152" s="1" t="s">
        <v>170</v>
      </c>
      <c r="S152" s="1" t="s">
        <v>171</v>
      </c>
      <c r="T152" s="1"/>
      <c r="U152" s="1"/>
      <c r="V152" s="1"/>
      <c r="W152" s="1"/>
    </row>
    <row r="153" ht="12.75" customHeight="1" spans="1:23">
      <c r="A153" s="1" t="s">
        <v>326</v>
      </c>
      <c r="B153" s="1">
        <v>152</v>
      </c>
      <c r="C153" s="1" t="s">
        <v>16</v>
      </c>
      <c r="D153" s="1" t="s">
        <v>173</v>
      </c>
      <c r="E153" s="1" t="s">
        <v>74</v>
      </c>
      <c r="F153" s="1">
        <v>34500</v>
      </c>
      <c r="G153" s="1" t="s">
        <v>165</v>
      </c>
      <c r="H153" s="1" t="s">
        <v>165</v>
      </c>
      <c r="I153" s="1"/>
      <c r="J153" s="1"/>
      <c r="K153" s="1" t="s">
        <v>166</v>
      </c>
      <c r="L153" s="1" t="s">
        <v>167</v>
      </c>
      <c r="M153" s="1" t="s">
        <v>327</v>
      </c>
      <c r="N153" s="1" t="s">
        <v>100</v>
      </c>
      <c r="O153" s="1" t="s">
        <v>169</v>
      </c>
      <c r="P153" s="1" t="s">
        <v>15</v>
      </c>
      <c r="Q153" s="1" t="s">
        <v>165</v>
      </c>
      <c r="R153" s="1" t="s">
        <v>170</v>
      </c>
      <c r="S153" s="1" t="s">
        <v>171</v>
      </c>
      <c r="T153" s="1"/>
      <c r="U153" s="1"/>
      <c r="V153" s="1"/>
      <c r="W153" s="1"/>
    </row>
    <row r="154" ht="12.75" customHeight="1" spans="1:23">
      <c r="A154" s="1" t="s">
        <v>328</v>
      </c>
      <c r="B154" s="1">
        <v>153</v>
      </c>
      <c r="C154" s="1" t="s">
        <v>12</v>
      </c>
      <c r="D154" s="1" t="s">
        <v>39</v>
      </c>
      <c r="E154" s="1" t="s">
        <v>101</v>
      </c>
      <c r="F154" s="1">
        <v>127133</v>
      </c>
      <c r="G154" s="1" t="s">
        <v>165</v>
      </c>
      <c r="H154" s="1" t="s">
        <v>165</v>
      </c>
      <c r="I154" s="1"/>
      <c r="J154" s="1"/>
      <c r="K154" s="1" t="s">
        <v>166</v>
      </c>
      <c r="L154" s="1" t="s">
        <v>167</v>
      </c>
      <c r="M154" s="1" t="s">
        <v>174</v>
      </c>
      <c r="N154" s="1" t="s">
        <v>21</v>
      </c>
      <c r="O154" s="1" t="s">
        <v>169</v>
      </c>
      <c r="P154" s="1" t="s">
        <v>15</v>
      </c>
      <c r="Q154" s="1" t="s">
        <v>165</v>
      </c>
      <c r="R154" s="1" t="s">
        <v>170</v>
      </c>
      <c r="S154" s="1" t="s">
        <v>171</v>
      </c>
      <c r="T154" s="1"/>
      <c r="U154" s="1"/>
      <c r="V154" s="1"/>
      <c r="W154" s="1"/>
    </row>
    <row r="155" ht="12.75" customHeight="1" spans="1:23">
      <c r="A155" s="1" t="s">
        <v>329</v>
      </c>
      <c r="B155" s="1">
        <v>154</v>
      </c>
      <c r="C155" s="1" t="s">
        <v>16</v>
      </c>
      <c r="D155" s="1" t="s">
        <v>173</v>
      </c>
      <c r="E155" s="1" t="s">
        <v>74</v>
      </c>
      <c r="F155" s="1">
        <v>45700</v>
      </c>
      <c r="G155" s="1" t="s">
        <v>165</v>
      </c>
      <c r="H155" s="1" t="s">
        <v>165</v>
      </c>
      <c r="I155" s="1"/>
      <c r="J155" s="1"/>
      <c r="K155" s="1" t="s">
        <v>166</v>
      </c>
      <c r="L155" s="1" t="s">
        <v>167</v>
      </c>
      <c r="M155" s="1" t="s">
        <v>174</v>
      </c>
      <c r="N155" s="1" t="s">
        <v>21</v>
      </c>
      <c r="O155" s="1" t="s">
        <v>169</v>
      </c>
      <c r="P155" s="1" t="s">
        <v>15</v>
      </c>
      <c r="Q155" s="1" t="s">
        <v>165</v>
      </c>
      <c r="R155" s="1" t="s">
        <v>170</v>
      </c>
      <c r="S155" s="1" t="s">
        <v>171</v>
      </c>
      <c r="T155" s="1"/>
      <c r="U155" s="1"/>
      <c r="V155" s="1"/>
      <c r="W155" s="1"/>
    </row>
    <row r="156" ht="12.75" customHeight="1" spans="1:23">
      <c r="A156" s="1" t="s">
        <v>330</v>
      </c>
      <c r="B156" s="1">
        <v>155</v>
      </c>
      <c r="C156" s="1" t="s">
        <v>12</v>
      </c>
      <c r="D156" s="1" t="s">
        <v>39</v>
      </c>
      <c r="E156" s="1" t="s">
        <v>102</v>
      </c>
      <c r="F156" s="1">
        <v>77600</v>
      </c>
      <c r="G156" s="1" t="s">
        <v>165</v>
      </c>
      <c r="H156" s="1" t="s">
        <v>165</v>
      </c>
      <c r="I156" s="1"/>
      <c r="J156" s="1"/>
      <c r="K156" s="1" t="s">
        <v>166</v>
      </c>
      <c r="L156" s="1" t="s">
        <v>167</v>
      </c>
      <c r="M156" s="1" t="s">
        <v>174</v>
      </c>
      <c r="N156" s="1" t="s">
        <v>21</v>
      </c>
      <c r="O156" s="1" t="s">
        <v>169</v>
      </c>
      <c r="P156" s="1" t="s">
        <v>15</v>
      </c>
      <c r="Q156" s="1" t="s">
        <v>165</v>
      </c>
      <c r="R156" s="1" t="s">
        <v>170</v>
      </c>
      <c r="S156" s="1" t="s">
        <v>171</v>
      </c>
      <c r="T156" s="1"/>
      <c r="U156" s="1"/>
      <c r="V156" s="1"/>
      <c r="W156" s="1"/>
    </row>
    <row r="157" ht="12.75" customHeight="1" spans="1:23">
      <c r="A157" s="1" t="s">
        <v>331</v>
      </c>
      <c r="B157" s="1">
        <v>156</v>
      </c>
      <c r="C157" s="1" t="s">
        <v>16</v>
      </c>
      <c r="D157" s="1" t="s">
        <v>173</v>
      </c>
      <c r="E157" s="1" t="s">
        <v>74</v>
      </c>
      <c r="F157" s="1">
        <v>32133</v>
      </c>
      <c r="G157" s="1" t="s">
        <v>165</v>
      </c>
      <c r="H157" s="1" t="s">
        <v>165</v>
      </c>
      <c r="I157" s="1"/>
      <c r="J157" s="1"/>
      <c r="K157" s="1" t="s">
        <v>166</v>
      </c>
      <c r="L157" s="1" t="s">
        <v>167</v>
      </c>
      <c r="M157" s="1" t="s">
        <v>174</v>
      </c>
      <c r="N157" s="1" t="s">
        <v>21</v>
      </c>
      <c r="O157" s="1" t="s">
        <v>169</v>
      </c>
      <c r="P157" s="1" t="s">
        <v>15</v>
      </c>
      <c r="Q157" s="1" t="s">
        <v>165</v>
      </c>
      <c r="R157" s="1" t="s">
        <v>170</v>
      </c>
      <c r="S157" s="1" t="s">
        <v>171</v>
      </c>
      <c r="T157" s="1"/>
      <c r="U157" s="1"/>
      <c r="V157" s="1"/>
      <c r="W157" s="1"/>
    </row>
    <row r="158" ht="12.75" customHeight="1" spans="1:23">
      <c r="A158" s="1" t="s">
        <v>332</v>
      </c>
      <c r="B158" s="1">
        <v>157</v>
      </c>
      <c r="C158" s="1" t="s">
        <v>12</v>
      </c>
      <c r="D158" s="1" t="s">
        <v>39</v>
      </c>
      <c r="E158" s="1" t="s">
        <v>103</v>
      </c>
      <c r="F158" s="1">
        <v>144033</v>
      </c>
      <c r="G158" s="1" t="s">
        <v>165</v>
      </c>
      <c r="H158" s="1" t="s">
        <v>165</v>
      </c>
      <c r="I158" s="1"/>
      <c r="J158" s="1"/>
      <c r="K158" s="1" t="s">
        <v>166</v>
      </c>
      <c r="L158" s="1" t="s">
        <v>167</v>
      </c>
      <c r="M158" s="1" t="s">
        <v>174</v>
      </c>
      <c r="N158" s="1" t="s">
        <v>21</v>
      </c>
      <c r="O158" s="1" t="s">
        <v>169</v>
      </c>
      <c r="P158" s="1" t="s">
        <v>15</v>
      </c>
      <c r="Q158" s="1" t="s">
        <v>165</v>
      </c>
      <c r="R158" s="1" t="s">
        <v>170</v>
      </c>
      <c r="S158" s="1" t="s">
        <v>171</v>
      </c>
      <c r="T158" s="1"/>
      <c r="U158" s="1"/>
      <c r="V158" s="1"/>
      <c r="W158" s="1"/>
    </row>
    <row r="159" ht="12.75" customHeight="1" spans="1:23">
      <c r="A159" s="1" t="s">
        <v>333</v>
      </c>
      <c r="B159" s="1">
        <v>158</v>
      </c>
      <c r="C159" s="1" t="s">
        <v>16</v>
      </c>
      <c r="D159" s="1" t="s">
        <v>173</v>
      </c>
      <c r="E159" s="1" t="s">
        <v>17</v>
      </c>
      <c r="F159" s="1">
        <v>50633</v>
      </c>
      <c r="G159" s="1" t="s">
        <v>165</v>
      </c>
      <c r="H159" s="1" t="s">
        <v>165</v>
      </c>
      <c r="I159" s="1"/>
      <c r="J159" s="1"/>
      <c r="K159" s="1" t="s">
        <v>166</v>
      </c>
      <c r="L159" s="1" t="s">
        <v>167</v>
      </c>
      <c r="M159" s="1" t="s">
        <v>174</v>
      </c>
      <c r="N159" s="1" t="s">
        <v>21</v>
      </c>
      <c r="O159" s="1" t="s">
        <v>169</v>
      </c>
      <c r="P159" s="1" t="s">
        <v>15</v>
      </c>
      <c r="Q159" s="1" t="s">
        <v>165</v>
      </c>
      <c r="R159" s="1" t="s">
        <v>170</v>
      </c>
      <c r="S159" s="1" t="s">
        <v>171</v>
      </c>
      <c r="T159" s="1"/>
      <c r="U159" s="1"/>
      <c r="V159" s="1"/>
      <c r="W159" s="1"/>
    </row>
    <row r="160" ht="12.75" customHeight="1" spans="1:23">
      <c r="A160" s="1" t="s">
        <v>334</v>
      </c>
      <c r="B160" s="1">
        <v>159</v>
      </c>
      <c r="C160" s="1" t="s">
        <v>12</v>
      </c>
      <c r="D160" s="1" t="s">
        <v>39</v>
      </c>
      <c r="E160" s="1" t="s">
        <v>104</v>
      </c>
      <c r="F160" s="1">
        <v>313400</v>
      </c>
      <c r="G160" s="1" t="s">
        <v>165</v>
      </c>
      <c r="H160" s="1" t="s">
        <v>165</v>
      </c>
      <c r="I160" s="1"/>
      <c r="J160" s="1"/>
      <c r="K160" s="1" t="s">
        <v>166</v>
      </c>
      <c r="L160" s="1" t="s">
        <v>167</v>
      </c>
      <c r="M160" s="1" t="s">
        <v>174</v>
      </c>
      <c r="N160" s="1" t="s">
        <v>21</v>
      </c>
      <c r="O160" s="1" t="s">
        <v>169</v>
      </c>
      <c r="P160" s="1" t="s">
        <v>15</v>
      </c>
      <c r="Q160" s="1" t="s">
        <v>165</v>
      </c>
      <c r="R160" s="1" t="s">
        <v>170</v>
      </c>
      <c r="S160" s="1" t="s">
        <v>171</v>
      </c>
      <c r="T160" s="1"/>
      <c r="U160" s="1"/>
      <c r="V160" s="1"/>
      <c r="W160" s="1"/>
    </row>
    <row r="161" ht="12.75" customHeight="1" spans="1:23">
      <c r="A161" s="1" t="s">
        <v>335</v>
      </c>
      <c r="B161" s="1">
        <v>160</v>
      </c>
      <c r="C161" s="1" t="s">
        <v>16</v>
      </c>
      <c r="D161" s="1" t="s">
        <v>173</v>
      </c>
      <c r="E161" s="1" t="s">
        <v>74</v>
      </c>
      <c r="F161" s="1">
        <v>81800</v>
      </c>
      <c r="G161" s="1" t="s">
        <v>165</v>
      </c>
      <c r="H161" s="1" t="s">
        <v>165</v>
      </c>
      <c r="I161" s="1"/>
      <c r="J161" s="1"/>
      <c r="K161" s="1" t="s">
        <v>166</v>
      </c>
      <c r="L161" s="1" t="s">
        <v>167</v>
      </c>
      <c r="M161" s="1" t="s">
        <v>174</v>
      </c>
      <c r="N161" s="1" t="s">
        <v>21</v>
      </c>
      <c r="O161" s="1" t="s">
        <v>169</v>
      </c>
      <c r="P161" s="1" t="s">
        <v>15</v>
      </c>
      <c r="Q161" s="1" t="s">
        <v>165</v>
      </c>
      <c r="R161" s="1" t="s">
        <v>170</v>
      </c>
      <c r="S161" s="1" t="s">
        <v>171</v>
      </c>
      <c r="T161" s="1"/>
      <c r="U161" s="1"/>
      <c r="V161" s="1"/>
      <c r="W161" s="1"/>
    </row>
    <row r="162" ht="12.75" customHeight="1" spans="1:23">
      <c r="A162" s="1" t="s">
        <v>336</v>
      </c>
      <c r="B162" s="1">
        <v>161</v>
      </c>
      <c r="C162" s="1" t="s">
        <v>105</v>
      </c>
      <c r="D162" s="1" t="s">
        <v>337</v>
      </c>
      <c r="E162" s="1" t="s">
        <v>106</v>
      </c>
      <c r="F162" s="1">
        <v>216167</v>
      </c>
      <c r="G162" s="1" t="s">
        <v>165</v>
      </c>
      <c r="H162" s="1" t="s">
        <v>165</v>
      </c>
      <c r="I162" s="1"/>
      <c r="J162" s="1"/>
      <c r="K162" s="1" t="s">
        <v>166</v>
      </c>
      <c r="L162" s="1" t="s">
        <v>167</v>
      </c>
      <c r="M162" s="1" t="s">
        <v>174</v>
      </c>
      <c r="N162" s="1" t="s">
        <v>21</v>
      </c>
      <c r="O162" s="1" t="s">
        <v>169</v>
      </c>
      <c r="P162" s="1" t="s">
        <v>15</v>
      </c>
      <c r="Q162" s="1" t="s">
        <v>165</v>
      </c>
      <c r="R162" s="1" t="s">
        <v>170</v>
      </c>
      <c r="S162" s="1" t="s">
        <v>171</v>
      </c>
      <c r="T162" s="1"/>
      <c r="U162" s="1"/>
      <c r="V162" s="1"/>
      <c r="W162" s="1"/>
    </row>
    <row r="163" ht="12.75" customHeight="1" spans="1:23">
      <c r="A163" s="1" t="s">
        <v>338</v>
      </c>
      <c r="B163" s="1">
        <v>162</v>
      </c>
      <c r="C163" s="1" t="s">
        <v>16</v>
      </c>
      <c r="D163" s="1" t="s">
        <v>173</v>
      </c>
      <c r="E163" s="1" t="s">
        <v>74</v>
      </c>
      <c r="F163" s="1">
        <v>83900</v>
      </c>
      <c r="G163" s="1" t="s">
        <v>165</v>
      </c>
      <c r="H163" s="1" t="s">
        <v>165</v>
      </c>
      <c r="I163" s="1"/>
      <c r="J163" s="1"/>
      <c r="K163" s="1" t="s">
        <v>166</v>
      </c>
      <c r="L163" s="1" t="s">
        <v>167</v>
      </c>
      <c r="M163" s="1" t="s">
        <v>174</v>
      </c>
      <c r="N163" s="1" t="s">
        <v>21</v>
      </c>
      <c r="O163" s="1" t="s">
        <v>169</v>
      </c>
      <c r="P163" s="1" t="s">
        <v>15</v>
      </c>
      <c r="Q163" s="1" t="s">
        <v>165</v>
      </c>
      <c r="R163" s="1" t="s">
        <v>170</v>
      </c>
      <c r="S163" s="1" t="s">
        <v>171</v>
      </c>
      <c r="T163" s="1"/>
      <c r="U163" s="1"/>
      <c r="V163" s="1"/>
      <c r="W163" s="1"/>
    </row>
    <row r="164" ht="12.75" customHeight="1" spans="1:23">
      <c r="A164" s="1" t="s">
        <v>339</v>
      </c>
      <c r="B164" s="1">
        <v>163</v>
      </c>
      <c r="C164" s="1" t="s">
        <v>105</v>
      </c>
      <c r="D164" s="1" t="s">
        <v>337</v>
      </c>
      <c r="E164" s="1" t="s">
        <v>107</v>
      </c>
      <c r="F164" s="1">
        <v>256533</v>
      </c>
      <c r="G164" s="1" t="s">
        <v>165</v>
      </c>
      <c r="H164" s="1" t="s">
        <v>165</v>
      </c>
      <c r="I164" s="1"/>
      <c r="J164" s="1"/>
      <c r="K164" s="1" t="s">
        <v>166</v>
      </c>
      <c r="L164" s="1" t="s">
        <v>167</v>
      </c>
      <c r="M164" s="1" t="s">
        <v>174</v>
      </c>
      <c r="N164" s="1" t="s">
        <v>21</v>
      </c>
      <c r="O164" s="1" t="s">
        <v>169</v>
      </c>
      <c r="P164" s="1" t="s">
        <v>15</v>
      </c>
      <c r="Q164" s="1" t="s">
        <v>165</v>
      </c>
      <c r="R164" s="1" t="s">
        <v>170</v>
      </c>
      <c r="S164" s="1" t="s">
        <v>171</v>
      </c>
      <c r="T164" s="1"/>
      <c r="U164" s="1"/>
      <c r="V164" s="1"/>
      <c r="W164" s="1"/>
    </row>
    <row r="165" ht="12.75" customHeight="1" spans="1:23">
      <c r="A165" s="1" t="s">
        <v>340</v>
      </c>
      <c r="B165" s="1">
        <v>164</v>
      </c>
      <c r="C165" s="1" t="s">
        <v>16</v>
      </c>
      <c r="D165" s="1" t="s">
        <v>173</v>
      </c>
      <c r="E165" s="1" t="s">
        <v>74</v>
      </c>
      <c r="F165" s="1">
        <v>92100</v>
      </c>
      <c r="G165" s="1" t="s">
        <v>165</v>
      </c>
      <c r="H165" s="1" t="s">
        <v>165</v>
      </c>
      <c r="I165" s="1"/>
      <c r="J165" s="1"/>
      <c r="K165" s="1" t="s">
        <v>166</v>
      </c>
      <c r="L165" s="1" t="s">
        <v>167</v>
      </c>
      <c r="M165" s="1" t="s">
        <v>174</v>
      </c>
      <c r="N165" s="1" t="s">
        <v>21</v>
      </c>
      <c r="O165" s="1" t="s">
        <v>169</v>
      </c>
      <c r="P165" s="1" t="s">
        <v>15</v>
      </c>
      <c r="Q165" s="1" t="s">
        <v>165</v>
      </c>
      <c r="R165" s="1" t="s">
        <v>170</v>
      </c>
      <c r="S165" s="1" t="s">
        <v>171</v>
      </c>
      <c r="T165" s="1"/>
      <c r="U165" s="1"/>
      <c r="V165" s="1"/>
      <c r="W165" s="1"/>
    </row>
    <row r="166" ht="12.75" customHeight="1" spans="1:23">
      <c r="A166" s="1" t="s">
        <v>341</v>
      </c>
      <c r="B166" s="1">
        <v>165</v>
      </c>
      <c r="C166" s="1" t="s">
        <v>105</v>
      </c>
      <c r="D166" s="1" t="s">
        <v>337</v>
      </c>
      <c r="E166" s="1" t="s">
        <v>108</v>
      </c>
      <c r="F166" s="1">
        <v>310000</v>
      </c>
      <c r="G166" s="1" t="s">
        <v>165</v>
      </c>
      <c r="H166" s="1" t="s">
        <v>165</v>
      </c>
      <c r="I166" s="1"/>
      <c r="J166" s="1"/>
      <c r="K166" s="1" t="s">
        <v>166</v>
      </c>
      <c r="L166" s="1" t="s">
        <v>167</v>
      </c>
      <c r="M166" s="1" t="s">
        <v>174</v>
      </c>
      <c r="N166" s="1" t="s">
        <v>21</v>
      </c>
      <c r="O166" s="1" t="s">
        <v>169</v>
      </c>
      <c r="P166" s="1" t="s">
        <v>15</v>
      </c>
      <c r="Q166" s="1" t="s">
        <v>165</v>
      </c>
      <c r="R166" s="1" t="s">
        <v>170</v>
      </c>
      <c r="S166" s="1" t="s">
        <v>171</v>
      </c>
      <c r="T166" s="1"/>
      <c r="U166" s="1"/>
      <c r="V166" s="1"/>
      <c r="W166" s="1"/>
    </row>
    <row r="167" ht="12.75" customHeight="1" spans="1:23">
      <c r="A167" s="1" t="s">
        <v>342</v>
      </c>
      <c r="B167" s="1">
        <v>166</v>
      </c>
      <c r="C167" s="1" t="s">
        <v>16</v>
      </c>
      <c r="D167" s="1" t="s">
        <v>173</v>
      </c>
      <c r="E167" s="1" t="s">
        <v>17</v>
      </c>
      <c r="F167" s="1">
        <v>100667</v>
      </c>
      <c r="G167" s="1" t="s">
        <v>165</v>
      </c>
      <c r="H167" s="1" t="s">
        <v>165</v>
      </c>
      <c r="I167" s="1"/>
      <c r="J167" s="1"/>
      <c r="K167" s="1" t="s">
        <v>166</v>
      </c>
      <c r="L167" s="1" t="s">
        <v>167</v>
      </c>
      <c r="M167" s="1" t="s">
        <v>174</v>
      </c>
      <c r="N167" s="1" t="s">
        <v>21</v>
      </c>
      <c r="O167" s="1" t="s">
        <v>169</v>
      </c>
      <c r="P167" s="1" t="s">
        <v>15</v>
      </c>
      <c r="Q167" s="1" t="s">
        <v>165</v>
      </c>
      <c r="R167" s="1" t="s">
        <v>170</v>
      </c>
      <c r="S167" s="1" t="s">
        <v>171</v>
      </c>
      <c r="T167" s="1"/>
      <c r="U167" s="1"/>
      <c r="V167" s="1"/>
      <c r="W167" s="1"/>
    </row>
    <row r="168" ht="12.75" customHeight="1" spans="1:23">
      <c r="A168" s="1" t="s">
        <v>343</v>
      </c>
      <c r="B168" s="1">
        <v>167</v>
      </c>
      <c r="C168" s="1" t="s">
        <v>105</v>
      </c>
      <c r="D168" s="1" t="s">
        <v>337</v>
      </c>
      <c r="E168" s="1" t="s">
        <v>109</v>
      </c>
      <c r="F168" s="1">
        <v>576033</v>
      </c>
      <c r="G168" s="1" t="s">
        <v>165</v>
      </c>
      <c r="H168" s="1" t="s">
        <v>165</v>
      </c>
      <c r="I168" s="1"/>
      <c r="J168" s="1"/>
      <c r="K168" s="1" t="s">
        <v>166</v>
      </c>
      <c r="L168" s="1" t="s">
        <v>167</v>
      </c>
      <c r="M168" s="1" t="s">
        <v>174</v>
      </c>
      <c r="N168" s="1" t="s">
        <v>21</v>
      </c>
      <c r="O168" s="1" t="s">
        <v>169</v>
      </c>
      <c r="P168" s="1" t="s">
        <v>15</v>
      </c>
      <c r="Q168" s="1" t="s">
        <v>165</v>
      </c>
      <c r="R168" s="1" t="s">
        <v>170</v>
      </c>
      <c r="S168" s="1" t="s">
        <v>171</v>
      </c>
      <c r="T168" s="1"/>
      <c r="U168" s="1"/>
      <c r="V168" s="1"/>
      <c r="W168" s="1"/>
    </row>
    <row r="169" ht="12.75" customHeight="1" spans="1:23">
      <c r="A169" s="1" t="s">
        <v>344</v>
      </c>
      <c r="B169" s="1">
        <v>168</v>
      </c>
      <c r="C169" s="1" t="s">
        <v>16</v>
      </c>
      <c r="D169" s="1" t="s">
        <v>173</v>
      </c>
      <c r="E169" s="1" t="s">
        <v>74</v>
      </c>
      <c r="F169" s="1">
        <v>139833</v>
      </c>
      <c r="G169" s="1" t="s">
        <v>165</v>
      </c>
      <c r="H169" s="1" t="s">
        <v>165</v>
      </c>
      <c r="I169" s="1"/>
      <c r="J169" s="1"/>
      <c r="K169" s="1" t="s">
        <v>166</v>
      </c>
      <c r="L169" s="1" t="s">
        <v>167</v>
      </c>
      <c r="M169" s="1" t="s">
        <v>174</v>
      </c>
      <c r="N169" s="1" t="s">
        <v>21</v>
      </c>
      <c r="O169" s="1" t="s">
        <v>169</v>
      </c>
      <c r="P169" s="1" t="s">
        <v>15</v>
      </c>
      <c r="Q169" s="1" t="s">
        <v>165</v>
      </c>
      <c r="R169" s="1" t="s">
        <v>170</v>
      </c>
      <c r="S169" s="1" t="s">
        <v>171</v>
      </c>
      <c r="T169" s="1"/>
      <c r="U169" s="1"/>
      <c r="V169" s="1"/>
      <c r="W169" s="1"/>
    </row>
    <row r="170" ht="12.75" customHeight="1" spans="1:23">
      <c r="A170" s="1" t="s">
        <v>345</v>
      </c>
      <c r="B170" s="1">
        <v>169</v>
      </c>
      <c r="C170" s="1" t="s">
        <v>105</v>
      </c>
      <c r="D170" s="1" t="s">
        <v>337</v>
      </c>
      <c r="E170" s="1" t="s">
        <v>110</v>
      </c>
      <c r="F170" s="1">
        <v>179367</v>
      </c>
      <c r="G170" s="1" t="s">
        <v>165</v>
      </c>
      <c r="H170" s="1" t="s">
        <v>165</v>
      </c>
      <c r="I170" s="1"/>
      <c r="J170" s="1"/>
      <c r="K170" s="1" t="s">
        <v>166</v>
      </c>
      <c r="L170" s="1" t="s">
        <v>167</v>
      </c>
      <c r="M170" s="1" t="s">
        <v>174</v>
      </c>
      <c r="N170" s="1" t="s">
        <v>21</v>
      </c>
      <c r="O170" s="1" t="s">
        <v>169</v>
      </c>
      <c r="P170" s="1" t="s">
        <v>15</v>
      </c>
      <c r="Q170" s="1" t="s">
        <v>165</v>
      </c>
      <c r="R170" s="1" t="s">
        <v>170</v>
      </c>
      <c r="S170" s="1" t="s">
        <v>171</v>
      </c>
      <c r="T170" s="1"/>
      <c r="U170" s="1"/>
      <c r="V170" s="1"/>
      <c r="W170" s="1"/>
    </row>
    <row r="171" ht="12.75" customHeight="1" spans="1:23">
      <c r="A171" s="1" t="s">
        <v>346</v>
      </c>
      <c r="B171" s="1">
        <v>170</v>
      </c>
      <c r="C171" s="1" t="s">
        <v>16</v>
      </c>
      <c r="D171" s="1" t="s">
        <v>173</v>
      </c>
      <c r="E171" s="1" t="s">
        <v>17</v>
      </c>
      <c r="F171" s="1">
        <v>81300</v>
      </c>
      <c r="G171" s="1" t="s">
        <v>165</v>
      </c>
      <c r="H171" s="1" t="s">
        <v>165</v>
      </c>
      <c r="I171" s="1"/>
      <c r="J171" s="1"/>
      <c r="K171" s="1" t="s">
        <v>166</v>
      </c>
      <c r="L171" s="1" t="s">
        <v>167</v>
      </c>
      <c r="M171" s="1" t="s">
        <v>174</v>
      </c>
      <c r="N171" s="1" t="s">
        <v>21</v>
      </c>
      <c r="O171" s="1" t="s">
        <v>169</v>
      </c>
      <c r="P171" s="1" t="s">
        <v>15</v>
      </c>
      <c r="Q171" s="1" t="s">
        <v>165</v>
      </c>
      <c r="R171" s="1" t="s">
        <v>170</v>
      </c>
      <c r="S171" s="1" t="s">
        <v>171</v>
      </c>
      <c r="T171" s="1"/>
      <c r="U171" s="1"/>
      <c r="V171" s="1"/>
      <c r="W171" s="1"/>
    </row>
    <row r="172" ht="12.75" customHeight="1" spans="1:23">
      <c r="A172" s="1" t="s">
        <v>347</v>
      </c>
      <c r="B172" s="1">
        <v>171</v>
      </c>
      <c r="C172" s="1" t="s">
        <v>105</v>
      </c>
      <c r="D172" s="1" t="s">
        <v>337</v>
      </c>
      <c r="E172" s="1" t="s">
        <v>111</v>
      </c>
      <c r="F172" s="1">
        <v>190633</v>
      </c>
      <c r="G172" s="1" t="s">
        <v>165</v>
      </c>
      <c r="H172" s="1" t="s">
        <v>165</v>
      </c>
      <c r="I172" s="1"/>
      <c r="J172" s="1"/>
      <c r="K172" s="1" t="s">
        <v>166</v>
      </c>
      <c r="L172" s="1" t="s">
        <v>167</v>
      </c>
      <c r="M172" s="1" t="s">
        <v>174</v>
      </c>
      <c r="N172" s="1" t="s">
        <v>21</v>
      </c>
      <c r="O172" s="1" t="s">
        <v>169</v>
      </c>
      <c r="P172" s="1" t="s">
        <v>15</v>
      </c>
      <c r="Q172" s="1" t="s">
        <v>165</v>
      </c>
      <c r="R172" s="1" t="s">
        <v>170</v>
      </c>
      <c r="S172" s="1" t="s">
        <v>171</v>
      </c>
      <c r="T172" s="1"/>
      <c r="U172" s="1"/>
      <c r="V172" s="1"/>
      <c r="W172" s="1"/>
    </row>
    <row r="173" ht="12.75" customHeight="1" spans="1:23">
      <c r="A173" s="1" t="s">
        <v>348</v>
      </c>
      <c r="B173" s="1">
        <v>172</v>
      </c>
      <c r="C173" s="1" t="s">
        <v>16</v>
      </c>
      <c r="D173" s="1" t="s">
        <v>173</v>
      </c>
      <c r="E173" s="1" t="s">
        <v>74</v>
      </c>
      <c r="F173" s="1">
        <v>68967</v>
      </c>
      <c r="G173" s="1" t="s">
        <v>165</v>
      </c>
      <c r="H173" s="1" t="s">
        <v>165</v>
      </c>
      <c r="I173" s="1"/>
      <c r="J173" s="1"/>
      <c r="K173" s="1" t="s">
        <v>166</v>
      </c>
      <c r="L173" s="1" t="s">
        <v>167</v>
      </c>
      <c r="M173" s="1" t="s">
        <v>174</v>
      </c>
      <c r="N173" s="1" t="s">
        <v>21</v>
      </c>
      <c r="O173" s="1" t="s">
        <v>169</v>
      </c>
      <c r="P173" s="1" t="s">
        <v>15</v>
      </c>
      <c r="Q173" s="1" t="s">
        <v>165</v>
      </c>
      <c r="R173" s="1" t="s">
        <v>170</v>
      </c>
      <c r="S173" s="1" t="s">
        <v>171</v>
      </c>
      <c r="T173" s="1"/>
      <c r="U173" s="1"/>
      <c r="V173" s="1"/>
      <c r="W173" s="1"/>
    </row>
    <row r="174" ht="12.75" customHeight="1" spans="1:23">
      <c r="A174" s="1" t="s">
        <v>349</v>
      </c>
      <c r="B174" s="1">
        <v>173</v>
      </c>
      <c r="C174" s="1" t="s">
        <v>112</v>
      </c>
      <c r="D174" s="1" t="s">
        <v>350</v>
      </c>
      <c r="E174" s="1" t="s">
        <v>113</v>
      </c>
      <c r="F174" s="1">
        <v>132633</v>
      </c>
      <c r="G174" s="1" t="s">
        <v>165</v>
      </c>
      <c r="H174" s="1" t="s">
        <v>165</v>
      </c>
      <c r="I174" s="1"/>
      <c r="J174" s="1"/>
      <c r="K174" s="1" t="s">
        <v>166</v>
      </c>
      <c r="L174" s="1" t="s">
        <v>167</v>
      </c>
      <c r="M174" s="1" t="s">
        <v>174</v>
      </c>
      <c r="N174" s="1" t="s">
        <v>21</v>
      </c>
      <c r="O174" s="1" t="s">
        <v>169</v>
      </c>
      <c r="P174" s="1" t="s">
        <v>15</v>
      </c>
      <c r="Q174" s="1" t="s">
        <v>165</v>
      </c>
      <c r="R174" s="1" t="s">
        <v>170</v>
      </c>
      <c r="S174" s="1" t="s">
        <v>171</v>
      </c>
      <c r="T174" s="1"/>
      <c r="U174" s="1"/>
      <c r="V174" s="1"/>
      <c r="W174" s="1"/>
    </row>
    <row r="175" ht="12.75" customHeight="1" spans="1:23">
      <c r="A175" s="1" t="s">
        <v>351</v>
      </c>
      <c r="B175" s="1">
        <v>174</v>
      </c>
      <c r="C175" s="1" t="s">
        <v>16</v>
      </c>
      <c r="D175" s="1" t="s">
        <v>173</v>
      </c>
      <c r="E175" s="1" t="s">
        <v>74</v>
      </c>
      <c r="F175" s="1">
        <v>71400</v>
      </c>
      <c r="G175" s="1" t="s">
        <v>165</v>
      </c>
      <c r="H175" s="1" t="s">
        <v>165</v>
      </c>
      <c r="I175" s="1"/>
      <c r="J175" s="1"/>
      <c r="K175" s="1" t="s">
        <v>166</v>
      </c>
      <c r="L175" s="1" t="s">
        <v>167</v>
      </c>
      <c r="M175" s="1" t="s">
        <v>174</v>
      </c>
      <c r="N175" s="1" t="s">
        <v>21</v>
      </c>
      <c r="O175" s="1" t="s">
        <v>169</v>
      </c>
      <c r="P175" s="1" t="s">
        <v>15</v>
      </c>
      <c r="Q175" s="1" t="s">
        <v>165</v>
      </c>
      <c r="R175" s="1" t="s">
        <v>170</v>
      </c>
      <c r="S175" s="1" t="s">
        <v>171</v>
      </c>
      <c r="T175" s="1"/>
      <c r="U175" s="1"/>
      <c r="V175" s="1"/>
      <c r="W175" s="1"/>
    </row>
    <row r="176" ht="12.75" customHeight="1" spans="1:23">
      <c r="A176" s="1" t="s">
        <v>352</v>
      </c>
      <c r="B176" s="1">
        <v>175</v>
      </c>
      <c r="C176" s="1" t="s">
        <v>112</v>
      </c>
      <c r="D176" s="1" t="s">
        <v>350</v>
      </c>
      <c r="E176" s="1" t="s">
        <v>114</v>
      </c>
      <c r="F176" s="1">
        <v>416267</v>
      </c>
      <c r="G176" s="1" t="s">
        <v>165</v>
      </c>
      <c r="H176" s="1" t="s">
        <v>165</v>
      </c>
      <c r="I176" s="1"/>
      <c r="J176" s="1"/>
      <c r="K176" s="1" t="s">
        <v>166</v>
      </c>
      <c r="L176" s="1" t="s">
        <v>167</v>
      </c>
      <c r="M176" s="1" t="s">
        <v>174</v>
      </c>
      <c r="N176" s="1" t="s">
        <v>21</v>
      </c>
      <c r="O176" s="1" t="s">
        <v>169</v>
      </c>
      <c r="P176" s="1" t="s">
        <v>15</v>
      </c>
      <c r="Q176" s="1" t="s">
        <v>165</v>
      </c>
      <c r="R176" s="1" t="s">
        <v>170</v>
      </c>
      <c r="S176" s="1" t="s">
        <v>171</v>
      </c>
      <c r="T176" s="1"/>
      <c r="U176" s="1"/>
      <c r="V176" s="1"/>
      <c r="W176" s="1"/>
    </row>
    <row r="177" ht="12.75" customHeight="1" spans="1:23">
      <c r="A177" s="1" t="s">
        <v>353</v>
      </c>
      <c r="B177" s="1">
        <v>176</v>
      </c>
      <c r="C177" s="1" t="s">
        <v>16</v>
      </c>
      <c r="D177" s="1" t="s">
        <v>173</v>
      </c>
      <c r="E177" s="1" t="s">
        <v>74</v>
      </c>
      <c r="F177" s="1">
        <v>123433</v>
      </c>
      <c r="G177" s="1" t="s">
        <v>165</v>
      </c>
      <c r="H177" s="1" t="s">
        <v>165</v>
      </c>
      <c r="I177" s="1"/>
      <c r="J177" s="1"/>
      <c r="K177" s="1" t="s">
        <v>166</v>
      </c>
      <c r="L177" s="1" t="s">
        <v>167</v>
      </c>
      <c r="M177" s="1" t="s">
        <v>174</v>
      </c>
      <c r="N177" s="1" t="s">
        <v>21</v>
      </c>
      <c r="O177" s="1" t="s">
        <v>169</v>
      </c>
      <c r="P177" s="1" t="s">
        <v>15</v>
      </c>
      <c r="Q177" s="1" t="s">
        <v>165</v>
      </c>
      <c r="R177" s="1" t="s">
        <v>170</v>
      </c>
      <c r="S177" s="1" t="s">
        <v>171</v>
      </c>
      <c r="T177" s="1"/>
      <c r="U177" s="1"/>
      <c r="V177" s="1"/>
      <c r="W177" s="1"/>
    </row>
    <row r="178" ht="12.75" customHeight="1" spans="1:23">
      <c r="A178" s="1" t="s">
        <v>354</v>
      </c>
      <c r="B178" s="1">
        <v>177</v>
      </c>
      <c r="C178" s="1" t="s">
        <v>112</v>
      </c>
      <c r="D178" s="1" t="s">
        <v>350</v>
      </c>
      <c r="E178" s="1" t="s">
        <v>115</v>
      </c>
      <c r="F178" s="1">
        <v>105600</v>
      </c>
      <c r="G178" s="1" t="s">
        <v>165</v>
      </c>
      <c r="H178" s="1" t="s">
        <v>165</v>
      </c>
      <c r="I178" s="1"/>
      <c r="J178" s="1"/>
      <c r="K178" s="1" t="s">
        <v>166</v>
      </c>
      <c r="L178" s="1" t="s">
        <v>167</v>
      </c>
      <c r="M178" s="1" t="s">
        <v>168</v>
      </c>
      <c r="N178" s="1" t="s">
        <v>42</v>
      </c>
      <c r="O178" s="1" t="s">
        <v>169</v>
      </c>
      <c r="P178" s="1" t="s">
        <v>15</v>
      </c>
      <c r="Q178" s="1" t="s">
        <v>165</v>
      </c>
      <c r="R178" s="1" t="s">
        <v>170</v>
      </c>
      <c r="S178" s="1" t="s">
        <v>171</v>
      </c>
      <c r="T178" s="1"/>
      <c r="U178" s="1"/>
      <c r="V178" s="1"/>
      <c r="W178" s="1"/>
    </row>
    <row r="179" ht="12.75" customHeight="1" spans="1:23">
      <c r="A179" s="1" t="s">
        <v>355</v>
      </c>
      <c r="B179" s="1">
        <v>178</v>
      </c>
      <c r="C179" s="1" t="s">
        <v>16</v>
      </c>
      <c r="D179" s="1" t="s">
        <v>173</v>
      </c>
      <c r="E179" s="1" t="s">
        <v>74</v>
      </c>
      <c r="F179" s="1">
        <v>59300</v>
      </c>
      <c r="G179" s="1" t="s">
        <v>165</v>
      </c>
      <c r="H179" s="1" t="s">
        <v>165</v>
      </c>
      <c r="I179" s="1"/>
      <c r="J179" s="1"/>
      <c r="K179" s="1" t="s">
        <v>166</v>
      </c>
      <c r="L179" s="1" t="s">
        <v>167</v>
      </c>
      <c r="M179" s="1" t="s">
        <v>174</v>
      </c>
      <c r="N179" s="1" t="s">
        <v>21</v>
      </c>
      <c r="O179" s="1" t="s">
        <v>169</v>
      </c>
      <c r="P179" s="1" t="s">
        <v>15</v>
      </c>
      <c r="Q179" s="1" t="s">
        <v>165</v>
      </c>
      <c r="R179" s="1" t="s">
        <v>170</v>
      </c>
      <c r="S179" s="1" t="s">
        <v>171</v>
      </c>
      <c r="T179" s="1"/>
      <c r="U179" s="1"/>
      <c r="V179" s="1"/>
      <c r="W179" s="1"/>
    </row>
    <row r="180" ht="12.75" customHeight="1" spans="1:23">
      <c r="A180" s="1" t="s">
        <v>356</v>
      </c>
      <c r="B180" s="1">
        <v>179</v>
      </c>
      <c r="C180" s="1" t="s">
        <v>112</v>
      </c>
      <c r="D180" s="1" t="s">
        <v>350</v>
      </c>
      <c r="E180" s="1" t="s">
        <v>116</v>
      </c>
      <c r="F180" s="1">
        <v>85667</v>
      </c>
      <c r="G180" s="1" t="s">
        <v>165</v>
      </c>
      <c r="H180" s="1" t="s">
        <v>165</v>
      </c>
      <c r="I180" s="1"/>
      <c r="J180" s="1"/>
      <c r="K180" s="1" t="s">
        <v>166</v>
      </c>
      <c r="L180" s="1" t="s">
        <v>167</v>
      </c>
      <c r="M180" s="1" t="s">
        <v>174</v>
      </c>
      <c r="N180" s="1" t="s">
        <v>21</v>
      </c>
      <c r="O180" s="1" t="s">
        <v>169</v>
      </c>
      <c r="P180" s="1" t="s">
        <v>15</v>
      </c>
      <c r="Q180" s="1" t="s">
        <v>165</v>
      </c>
      <c r="R180" s="1" t="s">
        <v>170</v>
      </c>
      <c r="S180" s="1" t="s">
        <v>171</v>
      </c>
      <c r="T180" s="1"/>
      <c r="U180" s="1"/>
      <c r="V180" s="1"/>
      <c r="W180" s="1"/>
    </row>
    <row r="181" ht="12.75" customHeight="1" spans="1:23">
      <c r="A181" s="1" t="s">
        <v>357</v>
      </c>
      <c r="B181" s="1">
        <v>180</v>
      </c>
      <c r="C181" s="1" t="s">
        <v>16</v>
      </c>
      <c r="D181" s="1" t="s">
        <v>173</v>
      </c>
      <c r="E181" s="1" t="s">
        <v>74</v>
      </c>
      <c r="F181" s="1">
        <v>29000</v>
      </c>
      <c r="G181" s="1" t="s">
        <v>165</v>
      </c>
      <c r="H181" s="1" t="s">
        <v>165</v>
      </c>
      <c r="I181" s="1"/>
      <c r="J181" s="1"/>
      <c r="K181" s="1" t="s">
        <v>166</v>
      </c>
      <c r="L181" s="1" t="s">
        <v>167</v>
      </c>
      <c r="M181" s="1" t="s">
        <v>174</v>
      </c>
      <c r="N181" s="1" t="s">
        <v>21</v>
      </c>
      <c r="O181" s="1" t="s">
        <v>169</v>
      </c>
      <c r="P181" s="1" t="s">
        <v>15</v>
      </c>
      <c r="Q181" s="1" t="s">
        <v>165</v>
      </c>
      <c r="R181" s="1" t="s">
        <v>170</v>
      </c>
      <c r="S181" s="1" t="s">
        <v>171</v>
      </c>
      <c r="T181" s="1"/>
      <c r="U181" s="1"/>
      <c r="V181" s="1"/>
      <c r="W181" s="1"/>
    </row>
    <row r="182" ht="12.75" customHeight="1" spans="1:23">
      <c r="A182" s="1" t="s">
        <v>358</v>
      </c>
      <c r="B182" s="1">
        <v>181</v>
      </c>
      <c r="C182" s="1" t="s">
        <v>112</v>
      </c>
      <c r="D182" s="1" t="s">
        <v>350</v>
      </c>
      <c r="E182" s="1" t="s">
        <v>117</v>
      </c>
      <c r="F182" s="1">
        <v>150667</v>
      </c>
      <c r="G182" s="1" t="s">
        <v>165</v>
      </c>
      <c r="H182" s="1" t="s">
        <v>165</v>
      </c>
      <c r="I182" s="1"/>
      <c r="J182" s="1"/>
      <c r="K182" s="1" t="s">
        <v>166</v>
      </c>
      <c r="L182" s="1" t="s">
        <v>167</v>
      </c>
      <c r="M182" s="1" t="s">
        <v>174</v>
      </c>
      <c r="N182" s="1" t="s">
        <v>21</v>
      </c>
      <c r="O182" s="1" t="s">
        <v>169</v>
      </c>
      <c r="P182" s="1" t="s">
        <v>15</v>
      </c>
      <c r="Q182" s="1" t="s">
        <v>165</v>
      </c>
      <c r="R182" s="1" t="s">
        <v>170</v>
      </c>
      <c r="S182" s="1" t="s">
        <v>171</v>
      </c>
      <c r="T182" s="1"/>
      <c r="U182" s="1"/>
      <c r="V182" s="1"/>
      <c r="W182" s="1"/>
    </row>
    <row r="183" ht="12.75" customHeight="1" spans="1:23">
      <c r="A183" s="1" t="s">
        <v>359</v>
      </c>
      <c r="B183" s="1">
        <v>182</v>
      </c>
      <c r="C183" s="1" t="s">
        <v>16</v>
      </c>
      <c r="D183" s="1" t="s">
        <v>173</v>
      </c>
      <c r="E183" s="1" t="s">
        <v>74</v>
      </c>
      <c r="F183" s="1">
        <v>73667</v>
      </c>
      <c r="G183" s="1" t="s">
        <v>165</v>
      </c>
      <c r="H183" s="1" t="s">
        <v>165</v>
      </c>
      <c r="I183" s="1"/>
      <c r="J183" s="1"/>
      <c r="K183" s="1" t="s">
        <v>166</v>
      </c>
      <c r="L183" s="1" t="s">
        <v>167</v>
      </c>
      <c r="M183" s="1" t="s">
        <v>174</v>
      </c>
      <c r="N183" s="1" t="s">
        <v>21</v>
      </c>
      <c r="O183" s="1" t="s">
        <v>169</v>
      </c>
      <c r="P183" s="1" t="s">
        <v>15</v>
      </c>
      <c r="Q183" s="1" t="s">
        <v>165</v>
      </c>
      <c r="R183" s="1" t="s">
        <v>170</v>
      </c>
      <c r="S183" s="1" t="s">
        <v>171</v>
      </c>
      <c r="T183" s="1"/>
      <c r="U183" s="1"/>
      <c r="V183" s="1"/>
      <c r="W183" s="1"/>
    </row>
    <row r="184" ht="12.75" customHeight="1" spans="1:23">
      <c r="A184" s="1" t="s">
        <v>360</v>
      </c>
      <c r="B184" s="1">
        <v>183</v>
      </c>
      <c r="C184" s="1" t="s">
        <v>112</v>
      </c>
      <c r="D184" s="1" t="s">
        <v>350</v>
      </c>
      <c r="E184" s="1" t="s">
        <v>118</v>
      </c>
      <c r="F184" s="1">
        <v>172000</v>
      </c>
      <c r="G184" s="1" t="s">
        <v>165</v>
      </c>
      <c r="H184" s="1" t="s">
        <v>165</v>
      </c>
      <c r="I184" s="1"/>
      <c r="J184" s="1"/>
      <c r="K184" s="1" t="s">
        <v>166</v>
      </c>
      <c r="L184" s="1" t="s">
        <v>167</v>
      </c>
      <c r="M184" s="1" t="s">
        <v>174</v>
      </c>
      <c r="N184" s="1" t="s">
        <v>21</v>
      </c>
      <c r="O184" s="1" t="s">
        <v>169</v>
      </c>
      <c r="P184" s="1" t="s">
        <v>15</v>
      </c>
      <c r="Q184" s="1" t="s">
        <v>165</v>
      </c>
      <c r="R184" s="1" t="s">
        <v>170</v>
      </c>
      <c r="S184" s="1" t="s">
        <v>171</v>
      </c>
      <c r="T184" s="1"/>
      <c r="U184" s="1"/>
      <c r="V184" s="1"/>
      <c r="W184" s="1"/>
    </row>
    <row r="185" ht="12.75" customHeight="1" spans="1:23">
      <c r="A185" s="1" t="s">
        <v>361</v>
      </c>
      <c r="B185" s="1">
        <v>184</v>
      </c>
      <c r="C185" s="1" t="s">
        <v>16</v>
      </c>
      <c r="D185" s="1" t="s">
        <v>173</v>
      </c>
      <c r="E185" s="1" t="s">
        <v>17</v>
      </c>
      <c r="F185" s="1">
        <v>74333</v>
      </c>
      <c r="G185" s="1" t="s">
        <v>165</v>
      </c>
      <c r="H185" s="1" t="s">
        <v>165</v>
      </c>
      <c r="I185" s="1"/>
      <c r="J185" s="1"/>
      <c r="K185" s="1" t="s">
        <v>166</v>
      </c>
      <c r="L185" s="1" t="s">
        <v>167</v>
      </c>
      <c r="M185" s="1" t="s">
        <v>174</v>
      </c>
      <c r="N185" s="1" t="s">
        <v>21</v>
      </c>
      <c r="O185" s="1" t="s">
        <v>169</v>
      </c>
      <c r="P185" s="1" t="s">
        <v>15</v>
      </c>
      <c r="Q185" s="1" t="s">
        <v>165</v>
      </c>
      <c r="R185" s="1" t="s">
        <v>170</v>
      </c>
      <c r="S185" s="1" t="s">
        <v>171</v>
      </c>
      <c r="T185" s="1"/>
      <c r="U185" s="1"/>
      <c r="V185" s="1"/>
      <c r="W185" s="1"/>
    </row>
    <row r="186" ht="12.75" customHeight="1" spans="1:23">
      <c r="A186" s="1" t="s">
        <v>362</v>
      </c>
      <c r="B186" s="1">
        <v>185</v>
      </c>
      <c r="C186" s="1" t="s">
        <v>112</v>
      </c>
      <c r="D186" s="1" t="s">
        <v>350</v>
      </c>
      <c r="E186" s="1" t="s">
        <v>119</v>
      </c>
      <c r="F186" s="1">
        <v>120000</v>
      </c>
      <c r="G186" s="1" t="s">
        <v>165</v>
      </c>
      <c r="H186" s="1" t="s">
        <v>165</v>
      </c>
      <c r="I186" s="1"/>
      <c r="J186" s="1"/>
      <c r="K186" s="1" t="s">
        <v>166</v>
      </c>
      <c r="L186" s="1" t="s">
        <v>167</v>
      </c>
      <c r="M186" s="1" t="s">
        <v>174</v>
      </c>
      <c r="N186" s="1" t="s">
        <v>21</v>
      </c>
      <c r="O186" s="1" t="s">
        <v>169</v>
      </c>
      <c r="P186" s="1" t="s">
        <v>15</v>
      </c>
      <c r="Q186" s="1" t="s">
        <v>165</v>
      </c>
      <c r="R186" s="1" t="s">
        <v>170</v>
      </c>
      <c r="S186" s="1" t="s">
        <v>171</v>
      </c>
      <c r="T186" s="1"/>
      <c r="U186" s="1"/>
      <c r="V186" s="1"/>
      <c r="W186" s="1"/>
    </row>
    <row r="187" ht="12.75" customHeight="1" spans="1:23">
      <c r="A187" s="1" t="s">
        <v>363</v>
      </c>
      <c r="B187" s="1">
        <v>186</v>
      </c>
      <c r="C187" s="1" t="s">
        <v>16</v>
      </c>
      <c r="D187" s="1" t="s">
        <v>173</v>
      </c>
      <c r="E187" s="1" t="s">
        <v>74</v>
      </c>
      <c r="F187" s="1">
        <v>54000</v>
      </c>
      <c r="G187" s="1" t="s">
        <v>165</v>
      </c>
      <c r="H187" s="1" t="s">
        <v>165</v>
      </c>
      <c r="I187" s="1"/>
      <c r="J187" s="1"/>
      <c r="K187" s="1" t="s">
        <v>166</v>
      </c>
      <c r="L187" s="1" t="s">
        <v>167</v>
      </c>
      <c r="M187" s="1" t="s">
        <v>174</v>
      </c>
      <c r="N187" s="1" t="s">
        <v>21</v>
      </c>
      <c r="O187" s="1" t="s">
        <v>169</v>
      </c>
      <c r="P187" s="1" t="s">
        <v>15</v>
      </c>
      <c r="Q187" s="1" t="s">
        <v>165</v>
      </c>
      <c r="R187" s="1" t="s">
        <v>170</v>
      </c>
      <c r="S187" s="1" t="s">
        <v>171</v>
      </c>
      <c r="T187" s="1"/>
      <c r="U187" s="1"/>
      <c r="V187" s="1"/>
      <c r="W187" s="1"/>
    </row>
    <row r="188" ht="12.75" customHeight="1" spans="1:23">
      <c r="A188" s="1" t="s">
        <v>364</v>
      </c>
      <c r="B188" s="1">
        <v>187</v>
      </c>
      <c r="C188" s="1" t="s">
        <v>112</v>
      </c>
      <c r="D188" s="1" t="s">
        <v>350</v>
      </c>
      <c r="E188" s="1" t="s">
        <v>120</v>
      </c>
      <c r="F188" s="1">
        <v>190000</v>
      </c>
      <c r="G188" s="1" t="s">
        <v>165</v>
      </c>
      <c r="H188" s="1" t="s">
        <v>165</v>
      </c>
      <c r="I188" s="1"/>
      <c r="J188" s="1"/>
      <c r="K188" s="1" t="s">
        <v>166</v>
      </c>
      <c r="L188" s="1" t="s">
        <v>167</v>
      </c>
      <c r="M188" s="1" t="s">
        <v>174</v>
      </c>
      <c r="N188" s="1" t="s">
        <v>21</v>
      </c>
      <c r="O188" s="1" t="s">
        <v>169</v>
      </c>
      <c r="P188" s="1" t="s">
        <v>15</v>
      </c>
      <c r="Q188" s="1" t="s">
        <v>165</v>
      </c>
      <c r="R188" s="1" t="s">
        <v>170</v>
      </c>
      <c r="S188" s="1" t="s">
        <v>171</v>
      </c>
      <c r="T188" s="1"/>
      <c r="U188" s="1"/>
      <c r="V188" s="1"/>
      <c r="W188" s="1"/>
    </row>
    <row r="189" ht="12.75" customHeight="1" spans="1:23">
      <c r="A189" s="1" t="s">
        <v>365</v>
      </c>
      <c r="B189" s="1">
        <v>188</v>
      </c>
      <c r="C189" s="1" t="s">
        <v>16</v>
      </c>
      <c r="D189" s="1" t="s">
        <v>173</v>
      </c>
      <c r="E189" s="1" t="s">
        <v>74</v>
      </c>
      <c r="F189" s="1">
        <v>65667</v>
      </c>
      <c r="G189" s="1" t="s">
        <v>165</v>
      </c>
      <c r="H189" s="1" t="s">
        <v>165</v>
      </c>
      <c r="I189" s="1"/>
      <c r="J189" s="1"/>
      <c r="K189" s="1" t="s">
        <v>166</v>
      </c>
      <c r="L189" s="1" t="s">
        <v>167</v>
      </c>
      <c r="M189" s="1" t="s">
        <v>174</v>
      </c>
      <c r="N189" s="1" t="s">
        <v>21</v>
      </c>
      <c r="O189" s="1" t="s">
        <v>169</v>
      </c>
      <c r="P189" s="1" t="s">
        <v>15</v>
      </c>
      <c r="Q189" s="1" t="s">
        <v>165</v>
      </c>
      <c r="R189" s="1" t="s">
        <v>170</v>
      </c>
      <c r="S189" s="1" t="s">
        <v>171</v>
      </c>
      <c r="T189" s="1"/>
      <c r="U189" s="1"/>
      <c r="V189" s="1"/>
      <c r="W189" s="1"/>
    </row>
    <row r="190" ht="12.75" customHeight="1" spans="1:23">
      <c r="A190" s="1" t="s">
        <v>366</v>
      </c>
      <c r="B190" s="1">
        <v>189</v>
      </c>
      <c r="C190" s="1" t="s">
        <v>112</v>
      </c>
      <c r="D190" s="1" t="s">
        <v>350</v>
      </c>
      <c r="E190" s="1" t="s">
        <v>121</v>
      </c>
      <c r="F190" s="1">
        <v>100000</v>
      </c>
      <c r="G190" s="1" t="s">
        <v>165</v>
      </c>
      <c r="H190" s="1" t="s">
        <v>165</v>
      </c>
      <c r="I190" s="1"/>
      <c r="J190" s="1"/>
      <c r="K190" s="1" t="s">
        <v>166</v>
      </c>
      <c r="L190" s="1" t="s">
        <v>167</v>
      </c>
      <c r="M190" s="1" t="s">
        <v>174</v>
      </c>
      <c r="N190" s="1" t="s">
        <v>21</v>
      </c>
      <c r="O190" s="1" t="s">
        <v>169</v>
      </c>
      <c r="P190" s="1" t="s">
        <v>15</v>
      </c>
      <c r="Q190" s="1" t="s">
        <v>165</v>
      </c>
      <c r="R190" s="1" t="s">
        <v>170</v>
      </c>
      <c r="S190" s="1" t="s">
        <v>171</v>
      </c>
      <c r="T190" s="1"/>
      <c r="U190" s="1"/>
      <c r="V190" s="1"/>
      <c r="W190" s="1"/>
    </row>
    <row r="191" ht="12.75" customHeight="1" spans="1:23">
      <c r="A191" s="1" t="s">
        <v>367</v>
      </c>
      <c r="B191" s="1">
        <v>190</v>
      </c>
      <c r="C191" s="1" t="s">
        <v>16</v>
      </c>
      <c r="D191" s="1" t="s">
        <v>173</v>
      </c>
      <c r="E191" s="1" t="s">
        <v>74</v>
      </c>
      <c r="F191" s="1">
        <v>49667</v>
      </c>
      <c r="G191" s="1" t="s">
        <v>165</v>
      </c>
      <c r="H191" s="1" t="s">
        <v>165</v>
      </c>
      <c r="I191" s="1"/>
      <c r="J191" s="1"/>
      <c r="K191" s="1" t="s">
        <v>166</v>
      </c>
      <c r="L191" s="1" t="s">
        <v>167</v>
      </c>
      <c r="M191" s="1" t="s">
        <v>174</v>
      </c>
      <c r="N191" s="1" t="s">
        <v>21</v>
      </c>
      <c r="O191" s="1" t="s">
        <v>169</v>
      </c>
      <c r="P191" s="1" t="s">
        <v>15</v>
      </c>
      <c r="Q191" s="1" t="s">
        <v>165</v>
      </c>
      <c r="R191" s="1" t="s">
        <v>170</v>
      </c>
      <c r="S191" s="1" t="s">
        <v>171</v>
      </c>
      <c r="T191" s="1"/>
      <c r="U191" s="1"/>
      <c r="V191" s="1"/>
      <c r="W191" s="1"/>
    </row>
    <row r="192" ht="12.75" customHeight="1" spans="1:23">
      <c r="A192" s="1" t="s">
        <v>368</v>
      </c>
      <c r="B192" s="1">
        <v>191</v>
      </c>
      <c r="C192" s="1" t="s">
        <v>112</v>
      </c>
      <c r="D192" s="1" t="s">
        <v>350</v>
      </c>
      <c r="E192" s="1" t="s">
        <v>122</v>
      </c>
      <c r="F192" s="1">
        <v>171333</v>
      </c>
      <c r="G192" s="1" t="s">
        <v>165</v>
      </c>
      <c r="H192" s="1" t="s">
        <v>165</v>
      </c>
      <c r="I192" s="1"/>
      <c r="J192" s="1"/>
      <c r="K192" s="1" t="s">
        <v>166</v>
      </c>
      <c r="L192" s="1" t="s">
        <v>167</v>
      </c>
      <c r="M192" s="1" t="s">
        <v>174</v>
      </c>
      <c r="N192" s="1" t="s">
        <v>21</v>
      </c>
      <c r="O192" s="1" t="s">
        <v>169</v>
      </c>
      <c r="P192" s="1" t="s">
        <v>15</v>
      </c>
      <c r="Q192" s="1" t="s">
        <v>165</v>
      </c>
      <c r="R192" s="1" t="s">
        <v>170</v>
      </c>
      <c r="S192" s="1" t="s">
        <v>171</v>
      </c>
      <c r="T192" s="1"/>
      <c r="U192" s="1"/>
      <c r="V192" s="1"/>
      <c r="W192" s="1"/>
    </row>
    <row r="193" ht="12.75" customHeight="1" spans="1:23">
      <c r="A193" s="1" t="s">
        <v>369</v>
      </c>
      <c r="B193" s="1">
        <v>192</v>
      </c>
      <c r="C193" s="1" t="s">
        <v>16</v>
      </c>
      <c r="D193" s="1" t="s">
        <v>173</v>
      </c>
      <c r="E193" s="1" t="s">
        <v>74</v>
      </c>
      <c r="F193" s="1">
        <v>54000</v>
      </c>
      <c r="G193" s="1" t="s">
        <v>165</v>
      </c>
      <c r="H193" s="1" t="s">
        <v>165</v>
      </c>
      <c r="I193" s="1"/>
      <c r="J193" s="1"/>
      <c r="K193" s="1" t="s">
        <v>166</v>
      </c>
      <c r="L193" s="1" t="s">
        <v>167</v>
      </c>
      <c r="M193" s="1" t="s">
        <v>174</v>
      </c>
      <c r="N193" s="1" t="s">
        <v>21</v>
      </c>
      <c r="O193" s="1" t="s">
        <v>169</v>
      </c>
      <c r="P193" s="1" t="s">
        <v>15</v>
      </c>
      <c r="Q193" s="1" t="s">
        <v>165</v>
      </c>
      <c r="R193" s="1" t="s">
        <v>170</v>
      </c>
      <c r="S193" s="1" t="s">
        <v>171</v>
      </c>
      <c r="T193" s="1"/>
      <c r="U193" s="1"/>
      <c r="V193" s="1"/>
      <c r="W193" s="1"/>
    </row>
    <row r="194" ht="12.75" customHeight="1" spans="1:23">
      <c r="A194" s="1" t="s">
        <v>370</v>
      </c>
      <c r="B194" s="1">
        <v>193</v>
      </c>
      <c r="C194" s="1" t="s">
        <v>123</v>
      </c>
      <c r="D194" s="1" t="s">
        <v>371</v>
      </c>
      <c r="E194" s="1" t="s">
        <v>124</v>
      </c>
      <c r="F194" s="1">
        <v>141333</v>
      </c>
      <c r="G194" s="1" t="s">
        <v>165</v>
      </c>
      <c r="H194" s="1" t="s">
        <v>165</v>
      </c>
      <c r="I194" s="1"/>
      <c r="J194" s="1"/>
      <c r="K194" s="1" t="s">
        <v>166</v>
      </c>
      <c r="L194" s="1" t="s">
        <v>167</v>
      </c>
      <c r="M194" s="1" t="s">
        <v>174</v>
      </c>
      <c r="N194" s="1" t="s">
        <v>21</v>
      </c>
      <c r="O194" s="1" t="s">
        <v>169</v>
      </c>
      <c r="P194" s="1" t="s">
        <v>15</v>
      </c>
      <c r="Q194" s="1" t="s">
        <v>165</v>
      </c>
      <c r="R194" s="1" t="s">
        <v>170</v>
      </c>
      <c r="S194" s="1" t="s">
        <v>171</v>
      </c>
      <c r="T194" s="1"/>
      <c r="U194" s="1"/>
      <c r="V194" s="1"/>
      <c r="W194" s="1"/>
    </row>
    <row r="195" ht="12.75" customHeight="1" spans="1:23">
      <c r="A195" s="1" t="s">
        <v>372</v>
      </c>
      <c r="B195" s="1">
        <v>194</v>
      </c>
      <c r="C195" s="1" t="s">
        <v>16</v>
      </c>
      <c r="D195" s="1" t="s">
        <v>173</v>
      </c>
      <c r="E195" s="1" t="s">
        <v>74</v>
      </c>
      <c r="F195" s="1">
        <v>75000</v>
      </c>
      <c r="G195" s="1" t="s">
        <v>165</v>
      </c>
      <c r="H195" s="1" t="s">
        <v>165</v>
      </c>
      <c r="I195" s="1"/>
      <c r="J195" s="1"/>
      <c r="K195" s="1" t="s">
        <v>166</v>
      </c>
      <c r="L195" s="1" t="s">
        <v>167</v>
      </c>
      <c r="M195" s="1" t="s">
        <v>174</v>
      </c>
      <c r="N195" s="1" t="s">
        <v>21</v>
      </c>
      <c r="O195" s="1" t="s">
        <v>169</v>
      </c>
      <c r="P195" s="1" t="s">
        <v>15</v>
      </c>
      <c r="Q195" s="1" t="s">
        <v>165</v>
      </c>
      <c r="R195" s="1" t="s">
        <v>170</v>
      </c>
      <c r="S195" s="1" t="s">
        <v>171</v>
      </c>
      <c r="T195" s="1"/>
      <c r="U195" s="1"/>
      <c r="V195" s="1"/>
      <c r="W195" s="1"/>
    </row>
    <row r="196" ht="12.75" customHeight="1" spans="1:23">
      <c r="A196" s="1" t="s">
        <v>373</v>
      </c>
      <c r="B196" s="1">
        <v>195</v>
      </c>
      <c r="C196" s="1" t="s">
        <v>123</v>
      </c>
      <c r="D196" s="1" t="s">
        <v>371</v>
      </c>
      <c r="E196" s="1" t="s">
        <v>125</v>
      </c>
      <c r="F196" s="1">
        <v>438333</v>
      </c>
      <c r="G196" s="1" t="s">
        <v>165</v>
      </c>
      <c r="H196" s="1" t="s">
        <v>165</v>
      </c>
      <c r="I196" s="1"/>
      <c r="J196" s="1"/>
      <c r="K196" s="1" t="s">
        <v>166</v>
      </c>
      <c r="L196" s="1" t="s">
        <v>167</v>
      </c>
      <c r="M196" s="1" t="s">
        <v>174</v>
      </c>
      <c r="N196" s="1" t="s">
        <v>21</v>
      </c>
      <c r="O196" s="1" t="s">
        <v>169</v>
      </c>
      <c r="P196" s="1" t="s">
        <v>15</v>
      </c>
      <c r="Q196" s="1" t="s">
        <v>165</v>
      </c>
      <c r="R196" s="1" t="s">
        <v>170</v>
      </c>
      <c r="S196" s="1" t="s">
        <v>171</v>
      </c>
      <c r="T196" s="1"/>
      <c r="U196" s="1"/>
      <c r="V196" s="1"/>
      <c r="W196" s="1"/>
    </row>
    <row r="197" ht="12.75" customHeight="1" spans="1:23">
      <c r="A197" s="1" t="s">
        <v>374</v>
      </c>
      <c r="B197" s="1">
        <v>196</v>
      </c>
      <c r="C197" s="1" t="s">
        <v>16</v>
      </c>
      <c r="D197" s="1" t="s">
        <v>173</v>
      </c>
      <c r="E197" s="1" t="s">
        <v>74</v>
      </c>
      <c r="F197" s="1">
        <v>130000</v>
      </c>
      <c r="G197" s="1" t="s">
        <v>165</v>
      </c>
      <c r="H197" s="1" t="s">
        <v>165</v>
      </c>
      <c r="I197" s="1"/>
      <c r="J197" s="1"/>
      <c r="K197" s="1" t="s">
        <v>166</v>
      </c>
      <c r="L197" s="1" t="s">
        <v>167</v>
      </c>
      <c r="M197" s="1" t="s">
        <v>174</v>
      </c>
      <c r="N197" s="1" t="s">
        <v>21</v>
      </c>
      <c r="O197" s="1" t="s">
        <v>169</v>
      </c>
      <c r="P197" s="1" t="s">
        <v>15</v>
      </c>
      <c r="Q197" s="1" t="s">
        <v>165</v>
      </c>
      <c r="R197" s="1" t="s">
        <v>170</v>
      </c>
      <c r="S197" s="1" t="s">
        <v>171</v>
      </c>
      <c r="T197" s="1"/>
      <c r="U197" s="1"/>
      <c r="V197" s="1"/>
      <c r="W197" s="1"/>
    </row>
    <row r="198" ht="12.75" customHeight="1" spans="1:23">
      <c r="A198" s="1" t="s">
        <v>375</v>
      </c>
      <c r="B198" s="1">
        <v>197</v>
      </c>
      <c r="C198" s="1" t="s">
        <v>123</v>
      </c>
      <c r="D198" s="1" t="s">
        <v>371</v>
      </c>
      <c r="E198" s="1" t="s">
        <v>126</v>
      </c>
      <c r="F198" s="1">
        <v>96667</v>
      </c>
      <c r="G198" s="1" t="s">
        <v>165</v>
      </c>
      <c r="H198" s="1" t="s">
        <v>165</v>
      </c>
      <c r="I198" s="1"/>
      <c r="J198" s="1"/>
      <c r="K198" s="1" t="s">
        <v>166</v>
      </c>
      <c r="L198" s="1" t="s">
        <v>167</v>
      </c>
      <c r="M198" s="1" t="s">
        <v>168</v>
      </c>
      <c r="N198" s="1" t="s">
        <v>42</v>
      </c>
      <c r="O198" s="1" t="s">
        <v>169</v>
      </c>
      <c r="P198" s="1" t="s">
        <v>15</v>
      </c>
      <c r="Q198" s="1" t="s">
        <v>165</v>
      </c>
      <c r="R198" s="1" t="s">
        <v>170</v>
      </c>
      <c r="S198" s="1" t="s">
        <v>171</v>
      </c>
      <c r="T198" s="1"/>
      <c r="U198" s="1"/>
      <c r="V198" s="1"/>
      <c r="W198" s="1"/>
    </row>
    <row r="199" ht="12.75" customHeight="1" spans="1:23">
      <c r="A199" s="1" t="s">
        <v>376</v>
      </c>
      <c r="B199" s="1">
        <v>198</v>
      </c>
      <c r="C199" s="1" t="s">
        <v>16</v>
      </c>
      <c r="D199" s="1" t="s">
        <v>173</v>
      </c>
      <c r="E199" s="1" t="s">
        <v>74</v>
      </c>
      <c r="F199" s="1">
        <v>58000</v>
      </c>
      <c r="G199" s="1" t="s">
        <v>165</v>
      </c>
      <c r="H199" s="1" t="s">
        <v>165</v>
      </c>
      <c r="I199" s="1"/>
      <c r="J199" s="1"/>
      <c r="K199" s="1" t="s">
        <v>166</v>
      </c>
      <c r="L199" s="1" t="s">
        <v>167</v>
      </c>
      <c r="M199" s="1" t="s">
        <v>174</v>
      </c>
      <c r="N199" s="1" t="s">
        <v>21</v>
      </c>
      <c r="O199" s="1" t="s">
        <v>169</v>
      </c>
      <c r="P199" s="1" t="s">
        <v>15</v>
      </c>
      <c r="Q199" s="1" t="s">
        <v>165</v>
      </c>
      <c r="R199" s="1" t="s">
        <v>170</v>
      </c>
      <c r="S199" s="1" t="s">
        <v>171</v>
      </c>
      <c r="T199" s="1"/>
      <c r="U199" s="1"/>
      <c r="V199" s="1"/>
      <c r="W199" s="1"/>
    </row>
    <row r="200" ht="12.75" customHeight="1" spans="1:23">
      <c r="A200" s="1" t="s">
        <v>377</v>
      </c>
      <c r="B200" s="1">
        <v>199</v>
      </c>
      <c r="C200" s="1" t="s">
        <v>123</v>
      </c>
      <c r="D200" s="1" t="s">
        <v>371</v>
      </c>
      <c r="E200" s="1" t="s">
        <v>127</v>
      </c>
      <c r="F200" s="1">
        <v>86667</v>
      </c>
      <c r="G200" s="1" t="s">
        <v>165</v>
      </c>
      <c r="H200" s="1" t="s">
        <v>165</v>
      </c>
      <c r="I200" s="1"/>
      <c r="J200" s="1"/>
      <c r="K200" s="1" t="s">
        <v>166</v>
      </c>
      <c r="L200" s="1" t="s">
        <v>167</v>
      </c>
      <c r="M200" s="1" t="s">
        <v>174</v>
      </c>
      <c r="N200" s="1" t="s">
        <v>21</v>
      </c>
      <c r="O200" s="1" t="s">
        <v>169</v>
      </c>
      <c r="P200" s="1" t="s">
        <v>15</v>
      </c>
      <c r="Q200" s="1" t="s">
        <v>165</v>
      </c>
      <c r="R200" s="1" t="s">
        <v>170</v>
      </c>
      <c r="S200" s="1" t="s">
        <v>171</v>
      </c>
      <c r="T200" s="1"/>
      <c r="U200" s="1"/>
      <c r="V200" s="1"/>
      <c r="W200" s="1"/>
    </row>
    <row r="201" ht="12.75" customHeight="1" spans="1:23">
      <c r="A201" s="1" t="s">
        <v>378</v>
      </c>
      <c r="B201" s="1">
        <v>200</v>
      </c>
      <c r="C201" s="1" t="s">
        <v>16</v>
      </c>
      <c r="D201" s="1" t="s">
        <v>173</v>
      </c>
      <c r="E201" s="1" t="s">
        <v>74</v>
      </c>
      <c r="F201" s="1">
        <v>29333</v>
      </c>
      <c r="G201" s="1" t="s">
        <v>165</v>
      </c>
      <c r="H201" s="1" t="s">
        <v>165</v>
      </c>
      <c r="I201" s="1"/>
      <c r="J201" s="1"/>
      <c r="K201" s="1" t="s">
        <v>166</v>
      </c>
      <c r="L201" s="1" t="s">
        <v>167</v>
      </c>
      <c r="M201" s="1" t="s">
        <v>174</v>
      </c>
      <c r="N201" s="1" t="s">
        <v>21</v>
      </c>
      <c r="O201" s="1" t="s">
        <v>169</v>
      </c>
      <c r="P201" s="1" t="s">
        <v>15</v>
      </c>
      <c r="Q201" s="1" t="s">
        <v>165</v>
      </c>
      <c r="R201" s="1" t="s">
        <v>170</v>
      </c>
      <c r="S201" s="1" t="s">
        <v>171</v>
      </c>
      <c r="T201" s="1"/>
      <c r="U201" s="1"/>
      <c r="V201" s="1"/>
      <c r="W201" s="1"/>
    </row>
    <row r="202" ht="12.75" customHeight="1" spans="1:23">
      <c r="A202" s="1" t="s">
        <v>379</v>
      </c>
      <c r="B202" s="1">
        <v>201</v>
      </c>
      <c r="C202" s="1" t="s">
        <v>123</v>
      </c>
      <c r="D202" s="1" t="s">
        <v>371</v>
      </c>
      <c r="E202" s="1" t="s">
        <v>128</v>
      </c>
      <c r="F202" s="1">
        <v>150333</v>
      </c>
      <c r="G202" s="1" t="s">
        <v>165</v>
      </c>
      <c r="H202" s="1" t="s">
        <v>165</v>
      </c>
      <c r="I202" s="1"/>
      <c r="J202" s="1"/>
      <c r="K202" s="1" t="s">
        <v>166</v>
      </c>
      <c r="L202" s="1" t="s">
        <v>167</v>
      </c>
      <c r="M202" s="1" t="s">
        <v>174</v>
      </c>
      <c r="N202" s="1" t="s">
        <v>21</v>
      </c>
      <c r="O202" s="1" t="s">
        <v>169</v>
      </c>
      <c r="P202" s="1" t="s">
        <v>15</v>
      </c>
      <c r="Q202" s="1" t="s">
        <v>165</v>
      </c>
      <c r="R202" s="1" t="s">
        <v>170</v>
      </c>
      <c r="S202" s="1" t="s">
        <v>171</v>
      </c>
      <c r="T202" s="1"/>
      <c r="U202" s="1"/>
      <c r="V202" s="1"/>
      <c r="W202" s="1"/>
    </row>
    <row r="203" ht="12.75" customHeight="1" spans="1:23">
      <c r="A203" s="1" t="s">
        <v>380</v>
      </c>
      <c r="B203" s="1">
        <v>202</v>
      </c>
      <c r="C203" s="1" t="s">
        <v>16</v>
      </c>
      <c r="D203" s="1" t="s">
        <v>173</v>
      </c>
      <c r="E203" s="1" t="s">
        <v>22</v>
      </c>
      <c r="F203" s="1">
        <v>74000</v>
      </c>
      <c r="G203" s="1" t="s">
        <v>165</v>
      </c>
      <c r="H203" s="1" t="s">
        <v>165</v>
      </c>
      <c r="I203" s="1"/>
      <c r="J203" s="1"/>
      <c r="K203" s="1" t="s">
        <v>166</v>
      </c>
      <c r="L203" s="1" t="s">
        <v>167</v>
      </c>
      <c r="M203" s="1" t="s">
        <v>174</v>
      </c>
      <c r="N203" s="1" t="s">
        <v>21</v>
      </c>
      <c r="O203" s="1" t="s">
        <v>169</v>
      </c>
      <c r="P203" s="1" t="s">
        <v>15</v>
      </c>
      <c r="Q203" s="1" t="s">
        <v>165</v>
      </c>
      <c r="R203" s="1" t="s">
        <v>170</v>
      </c>
      <c r="S203" s="1" t="s">
        <v>171</v>
      </c>
      <c r="T203" s="1"/>
      <c r="U203" s="1"/>
      <c r="V203" s="1"/>
      <c r="W203" s="1"/>
    </row>
    <row r="204" ht="12.75" customHeight="1" spans="1:23">
      <c r="A204" s="1" t="s">
        <v>381</v>
      </c>
      <c r="B204" s="1">
        <v>203</v>
      </c>
      <c r="C204" s="1" t="s">
        <v>123</v>
      </c>
      <c r="D204" s="1" t="s">
        <v>371</v>
      </c>
      <c r="E204" s="1" t="s">
        <v>129</v>
      </c>
      <c r="F204" s="1">
        <v>170667</v>
      </c>
      <c r="G204" s="1" t="s">
        <v>165</v>
      </c>
      <c r="H204" s="1" t="s">
        <v>165</v>
      </c>
      <c r="I204" s="1"/>
      <c r="J204" s="1"/>
      <c r="K204" s="1" t="s">
        <v>166</v>
      </c>
      <c r="L204" s="1" t="s">
        <v>167</v>
      </c>
      <c r="M204" s="1" t="s">
        <v>174</v>
      </c>
      <c r="N204" s="1" t="s">
        <v>21</v>
      </c>
      <c r="O204" s="1" t="s">
        <v>169</v>
      </c>
      <c r="P204" s="1" t="s">
        <v>15</v>
      </c>
      <c r="Q204" s="1" t="s">
        <v>165</v>
      </c>
      <c r="R204" s="1" t="s">
        <v>170</v>
      </c>
      <c r="S204" s="1" t="s">
        <v>171</v>
      </c>
      <c r="T204" s="1"/>
      <c r="U204" s="1"/>
      <c r="V204" s="1"/>
      <c r="W204" s="1"/>
    </row>
    <row r="205" ht="12.75" customHeight="1" spans="1:23">
      <c r="A205" s="1" t="s">
        <v>382</v>
      </c>
      <c r="B205" s="1">
        <v>204</v>
      </c>
      <c r="C205" s="1" t="s">
        <v>16</v>
      </c>
      <c r="D205" s="1" t="s">
        <v>173</v>
      </c>
      <c r="E205" s="1" t="s">
        <v>17</v>
      </c>
      <c r="F205" s="1">
        <v>74333</v>
      </c>
      <c r="G205" s="1" t="s">
        <v>165</v>
      </c>
      <c r="H205" s="1" t="s">
        <v>165</v>
      </c>
      <c r="I205" s="1"/>
      <c r="J205" s="1"/>
      <c r="K205" s="1" t="s">
        <v>166</v>
      </c>
      <c r="L205" s="1" t="s">
        <v>167</v>
      </c>
      <c r="M205" s="1" t="s">
        <v>174</v>
      </c>
      <c r="N205" s="1" t="s">
        <v>21</v>
      </c>
      <c r="O205" s="1" t="s">
        <v>169</v>
      </c>
      <c r="P205" s="1" t="s">
        <v>15</v>
      </c>
      <c r="Q205" s="1" t="s">
        <v>165</v>
      </c>
      <c r="R205" s="1" t="s">
        <v>170</v>
      </c>
      <c r="S205" s="1" t="s">
        <v>171</v>
      </c>
      <c r="T205" s="1"/>
      <c r="U205" s="1"/>
      <c r="V205" s="1"/>
      <c r="W205" s="1"/>
    </row>
    <row r="206" ht="12.75" customHeight="1" spans="1:23">
      <c r="A206" s="1" t="s">
        <v>383</v>
      </c>
      <c r="B206" s="1">
        <v>205</v>
      </c>
      <c r="C206" s="1" t="s">
        <v>123</v>
      </c>
      <c r="D206" s="1" t="s">
        <v>371</v>
      </c>
      <c r="E206" s="1" t="s">
        <v>130</v>
      </c>
      <c r="F206" s="1">
        <v>115667</v>
      </c>
      <c r="G206" s="1" t="s">
        <v>165</v>
      </c>
      <c r="H206" s="1" t="s">
        <v>165</v>
      </c>
      <c r="I206" s="1"/>
      <c r="J206" s="1"/>
      <c r="K206" s="1" t="s">
        <v>166</v>
      </c>
      <c r="L206" s="1" t="s">
        <v>167</v>
      </c>
      <c r="M206" s="1" t="s">
        <v>174</v>
      </c>
      <c r="N206" s="1" t="s">
        <v>21</v>
      </c>
      <c r="O206" s="1" t="s">
        <v>169</v>
      </c>
      <c r="P206" s="1" t="s">
        <v>15</v>
      </c>
      <c r="Q206" s="1" t="s">
        <v>165</v>
      </c>
      <c r="R206" s="1" t="s">
        <v>170</v>
      </c>
      <c r="S206" s="1" t="s">
        <v>171</v>
      </c>
      <c r="T206" s="1"/>
      <c r="U206" s="1"/>
      <c r="V206" s="1"/>
      <c r="W206" s="1"/>
    </row>
    <row r="207" ht="12.75" customHeight="1" spans="1:23">
      <c r="A207" s="1" t="s">
        <v>384</v>
      </c>
      <c r="B207" s="1">
        <v>206</v>
      </c>
      <c r="C207" s="1" t="s">
        <v>16</v>
      </c>
      <c r="D207" s="1" t="s">
        <v>173</v>
      </c>
      <c r="E207" s="1" t="s">
        <v>17</v>
      </c>
      <c r="F207" s="1">
        <v>54333</v>
      </c>
      <c r="G207" s="1" t="s">
        <v>165</v>
      </c>
      <c r="H207" s="1" t="s">
        <v>165</v>
      </c>
      <c r="I207" s="1"/>
      <c r="J207" s="1"/>
      <c r="K207" s="1" t="s">
        <v>166</v>
      </c>
      <c r="L207" s="1" t="s">
        <v>167</v>
      </c>
      <c r="M207" s="1" t="s">
        <v>174</v>
      </c>
      <c r="N207" s="1" t="s">
        <v>21</v>
      </c>
      <c r="O207" s="1" t="s">
        <v>169</v>
      </c>
      <c r="P207" s="1" t="s">
        <v>15</v>
      </c>
      <c r="Q207" s="1" t="s">
        <v>165</v>
      </c>
      <c r="R207" s="1" t="s">
        <v>170</v>
      </c>
      <c r="S207" s="1" t="s">
        <v>171</v>
      </c>
      <c r="T207" s="1"/>
      <c r="U207" s="1"/>
      <c r="V207" s="1"/>
      <c r="W207" s="1"/>
    </row>
    <row r="208" ht="12.75" customHeight="1" spans="1:23">
      <c r="A208" s="1" t="s">
        <v>385</v>
      </c>
      <c r="B208" s="1">
        <v>207</v>
      </c>
      <c r="C208" s="1" t="s">
        <v>123</v>
      </c>
      <c r="D208" s="1" t="s">
        <v>371</v>
      </c>
      <c r="E208" s="1" t="s">
        <v>131</v>
      </c>
      <c r="F208" s="1">
        <v>190000</v>
      </c>
      <c r="G208" s="1" t="s">
        <v>165</v>
      </c>
      <c r="H208" s="1" t="s">
        <v>165</v>
      </c>
      <c r="I208" s="1"/>
      <c r="J208" s="1"/>
      <c r="K208" s="1" t="s">
        <v>166</v>
      </c>
      <c r="L208" s="1" t="s">
        <v>167</v>
      </c>
      <c r="M208" s="1" t="s">
        <v>174</v>
      </c>
      <c r="N208" s="1" t="s">
        <v>21</v>
      </c>
      <c r="O208" s="1" t="s">
        <v>169</v>
      </c>
      <c r="P208" s="1" t="s">
        <v>15</v>
      </c>
      <c r="Q208" s="1" t="s">
        <v>165</v>
      </c>
      <c r="R208" s="1" t="s">
        <v>170</v>
      </c>
      <c r="S208" s="1" t="s">
        <v>171</v>
      </c>
      <c r="T208" s="1"/>
      <c r="U208" s="1"/>
      <c r="V208" s="1"/>
      <c r="W208" s="1"/>
    </row>
    <row r="209" ht="12.75" customHeight="1" spans="1:23">
      <c r="A209" s="1" t="s">
        <v>386</v>
      </c>
      <c r="B209" s="1">
        <v>208</v>
      </c>
      <c r="C209" s="1" t="s">
        <v>16</v>
      </c>
      <c r="D209" s="1" t="s">
        <v>173</v>
      </c>
      <c r="E209" s="1" t="s">
        <v>17</v>
      </c>
      <c r="F209" s="1">
        <v>65667</v>
      </c>
      <c r="G209" s="1" t="s">
        <v>165</v>
      </c>
      <c r="H209" s="1" t="s">
        <v>165</v>
      </c>
      <c r="I209" s="1"/>
      <c r="J209" s="1"/>
      <c r="K209" s="1" t="s">
        <v>166</v>
      </c>
      <c r="L209" s="1" t="s">
        <v>167</v>
      </c>
      <c r="M209" s="1" t="s">
        <v>174</v>
      </c>
      <c r="N209" s="1" t="s">
        <v>21</v>
      </c>
      <c r="O209" s="1" t="s">
        <v>169</v>
      </c>
      <c r="P209" s="1" t="s">
        <v>15</v>
      </c>
      <c r="Q209" s="1" t="s">
        <v>165</v>
      </c>
      <c r="R209" s="1" t="s">
        <v>170</v>
      </c>
      <c r="S209" s="1" t="s">
        <v>171</v>
      </c>
      <c r="T209" s="1"/>
      <c r="U209" s="1"/>
      <c r="V209" s="1"/>
      <c r="W209" s="1"/>
    </row>
    <row r="210" ht="12.75" customHeight="1" spans="1:23">
      <c r="A210" s="1" t="s">
        <v>387</v>
      </c>
      <c r="B210" s="1">
        <v>209</v>
      </c>
      <c r="C210" s="1" t="s">
        <v>123</v>
      </c>
      <c r="D210" s="1" t="s">
        <v>371</v>
      </c>
      <c r="E210" s="1" t="s">
        <v>132</v>
      </c>
      <c r="F210" s="1">
        <v>100000</v>
      </c>
      <c r="G210" s="1" t="s">
        <v>165</v>
      </c>
      <c r="H210" s="1" t="s">
        <v>165</v>
      </c>
      <c r="I210" s="1"/>
      <c r="J210" s="1"/>
      <c r="K210" s="1" t="s">
        <v>166</v>
      </c>
      <c r="L210" s="1" t="s">
        <v>167</v>
      </c>
      <c r="M210" s="1" t="s">
        <v>174</v>
      </c>
      <c r="N210" s="1" t="s">
        <v>21</v>
      </c>
      <c r="O210" s="1" t="s">
        <v>169</v>
      </c>
      <c r="P210" s="1" t="s">
        <v>15</v>
      </c>
      <c r="Q210" s="1" t="s">
        <v>165</v>
      </c>
      <c r="R210" s="1" t="s">
        <v>170</v>
      </c>
      <c r="S210" s="1" t="s">
        <v>171</v>
      </c>
      <c r="T210" s="1"/>
      <c r="U210" s="1"/>
      <c r="V210" s="1"/>
      <c r="W210" s="1"/>
    </row>
    <row r="211" ht="12.75" customHeight="1" spans="1:23">
      <c r="A211" s="1" t="s">
        <v>388</v>
      </c>
      <c r="B211" s="1">
        <v>210</v>
      </c>
      <c r="C211" s="1" t="s">
        <v>16</v>
      </c>
      <c r="D211" s="1" t="s">
        <v>173</v>
      </c>
      <c r="E211" s="1" t="s">
        <v>17</v>
      </c>
      <c r="F211" s="1">
        <v>49667</v>
      </c>
      <c r="G211" s="1" t="s">
        <v>165</v>
      </c>
      <c r="H211" s="1" t="s">
        <v>165</v>
      </c>
      <c r="I211" s="1"/>
      <c r="J211" s="1"/>
      <c r="K211" s="1" t="s">
        <v>166</v>
      </c>
      <c r="L211" s="1" t="s">
        <v>167</v>
      </c>
      <c r="M211" s="1" t="s">
        <v>174</v>
      </c>
      <c r="N211" s="1" t="s">
        <v>21</v>
      </c>
      <c r="O211" s="1" t="s">
        <v>169</v>
      </c>
      <c r="P211" s="1" t="s">
        <v>15</v>
      </c>
      <c r="Q211" s="1" t="s">
        <v>165</v>
      </c>
      <c r="R211" s="1" t="s">
        <v>170</v>
      </c>
      <c r="S211" s="1" t="s">
        <v>171</v>
      </c>
      <c r="T211" s="1"/>
      <c r="U211" s="1"/>
      <c r="V211" s="1"/>
      <c r="W211" s="1"/>
    </row>
    <row r="212" ht="12.75" customHeight="1" spans="1:23">
      <c r="A212" s="1" t="s">
        <v>389</v>
      </c>
      <c r="B212" s="1">
        <v>211</v>
      </c>
      <c r="C212" s="1" t="s">
        <v>123</v>
      </c>
      <c r="D212" s="1" t="s">
        <v>371</v>
      </c>
      <c r="E212" s="1" t="s">
        <v>133</v>
      </c>
      <c r="F212" s="1">
        <v>171333</v>
      </c>
      <c r="G212" s="1" t="s">
        <v>165</v>
      </c>
      <c r="H212" s="1" t="s">
        <v>165</v>
      </c>
      <c r="I212" s="1"/>
      <c r="J212" s="1"/>
      <c r="K212" s="1" t="s">
        <v>166</v>
      </c>
      <c r="L212" s="1" t="s">
        <v>167</v>
      </c>
      <c r="M212" s="1" t="s">
        <v>174</v>
      </c>
      <c r="N212" s="1" t="s">
        <v>21</v>
      </c>
      <c r="O212" s="1" t="s">
        <v>169</v>
      </c>
      <c r="P212" s="1" t="s">
        <v>15</v>
      </c>
      <c r="Q212" s="1" t="s">
        <v>165</v>
      </c>
      <c r="R212" s="1" t="s">
        <v>170</v>
      </c>
      <c r="S212" s="1" t="s">
        <v>171</v>
      </c>
      <c r="T212" s="1"/>
      <c r="U212" s="1"/>
      <c r="V212" s="1"/>
      <c r="W212" s="1"/>
    </row>
    <row r="213" ht="12.75" customHeight="1" spans="1:23">
      <c r="A213" s="1" t="s">
        <v>390</v>
      </c>
      <c r="B213" s="1">
        <v>212</v>
      </c>
      <c r="C213" s="1" t="s">
        <v>16</v>
      </c>
      <c r="D213" s="1" t="s">
        <v>173</v>
      </c>
      <c r="E213" s="1" t="s">
        <v>17</v>
      </c>
      <c r="F213" s="1">
        <v>53667</v>
      </c>
      <c r="G213" s="1" t="s">
        <v>165</v>
      </c>
      <c r="H213" s="1" t="s">
        <v>165</v>
      </c>
      <c r="I213" s="1"/>
      <c r="J213" s="1"/>
      <c r="K213" s="1" t="s">
        <v>166</v>
      </c>
      <c r="L213" s="1" t="s">
        <v>167</v>
      </c>
      <c r="M213" s="1" t="s">
        <v>174</v>
      </c>
      <c r="N213" s="1" t="s">
        <v>21</v>
      </c>
      <c r="O213" s="1" t="s">
        <v>169</v>
      </c>
      <c r="P213" s="1" t="s">
        <v>15</v>
      </c>
      <c r="Q213" s="1" t="s">
        <v>165</v>
      </c>
      <c r="R213" s="1" t="s">
        <v>170</v>
      </c>
      <c r="S213" s="1" t="s">
        <v>171</v>
      </c>
      <c r="T213" s="1"/>
      <c r="U213" s="1"/>
      <c r="V213" s="1"/>
      <c r="W213" s="1"/>
    </row>
    <row r="214" ht="12.75" customHeight="1" spans="1:23">
      <c r="A214" s="1"/>
      <c r="B214" s="1"/>
      <c r="C214" s="1"/>
      <c r="D214" s="1"/>
      <c r="E214" s="1"/>
      <c r="F214" s="2">
        <f>SUM(F2:F213)</f>
        <v>22014104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2.75" customHeight="1" spans="1:2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2.75" customHeight="1" spans="1:2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2.75" customHeight="1" spans="1:2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2.75" customHeight="1" spans="1:2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2.75" customHeight="1" spans="1:2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2.75" customHeight="1" spans="1:2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2.75" customHeight="1" spans="1:2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2.75" customHeight="1" spans="1:2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2.75" customHeight="1" spans="1: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2.75" customHeight="1" spans="1:2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2.75" customHeight="1" spans="1:2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2.75" customHeight="1" spans="1:2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2.75" customHeight="1" spans="1:2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2.75" customHeight="1" spans="1:2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2.75" customHeight="1" spans="1:2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2.75" customHeight="1" spans="1:2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2.75" customHeight="1" spans="1:2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2.75" customHeight="1" spans="1:2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2.75" customHeight="1" spans="1:2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2.75" customHeight="1" spans="1:2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2.75" customHeight="1" spans="1:2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2.75" customHeight="1" spans="1:2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2.75" customHeight="1" spans="1:2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2.75" customHeight="1" spans="1:2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2.75" customHeight="1" spans="1:2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2.75" customHeight="1" spans="1:2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2.75" customHeight="1" spans="1:2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2.75" customHeight="1" spans="1:2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2.75" customHeight="1" spans="1:2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2.75" customHeight="1" spans="1:2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2.75" customHeight="1" spans="1:2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2.75" customHeight="1" spans="1:2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2.75" customHeight="1" spans="1:2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2.75" customHeight="1" spans="1:2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2.75" customHeight="1" spans="1:2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2.75" customHeight="1" spans="1:2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2.75" customHeight="1" spans="1:2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2.75" customHeight="1" spans="1:2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2.75" customHeight="1" spans="1:2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2.75" customHeight="1" spans="1:2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2.75" customHeight="1" spans="1:2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2.75" customHeight="1" spans="1:2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2.75" customHeight="1" spans="1:2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2.75" customHeight="1" spans="1:2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2.75" customHeight="1" spans="1:2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2.75" customHeight="1" spans="1:2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2.75" customHeight="1" spans="1:2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2.75" customHeight="1" spans="1:2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2.75" customHeight="1" spans="1:2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2.75" customHeight="1" spans="1:2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2.75" customHeight="1" spans="1:2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2.75" customHeight="1" spans="1:2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2.75" customHeight="1" spans="1:2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2.75" customHeight="1" spans="1:2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2.75" customHeight="1" spans="1:2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2.75" customHeight="1" spans="1:2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2.75" customHeight="1" spans="1:2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2.75" customHeight="1" spans="1:2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2.75" customHeight="1" spans="1:2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2.75" customHeight="1" spans="1:2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2.75" customHeight="1" spans="1:2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2.75" customHeight="1" spans="1:2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2.75" customHeight="1" spans="1:2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2.75" customHeight="1" spans="1:2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2.75" customHeight="1" spans="1:2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2.75" customHeight="1" spans="1:2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2.75" customHeight="1" spans="1:2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2.75" customHeight="1" spans="1:2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2.75" customHeight="1" spans="1:2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2.75" customHeight="1" spans="1:2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2.75" customHeight="1" spans="1:2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2.75" customHeight="1" spans="1:2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2.75" customHeight="1" spans="1:2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2.75" customHeight="1" spans="1:2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2.75" customHeight="1" spans="1:2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2.75" customHeight="1" spans="1:2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2.75" customHeight="1" spans="1:2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2.75" customHeight="1" spans="1:2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2.75" customHeight="1" spans="1:2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2.75" customHeight="1" spans="1:2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2.75" customHeight="1" spans="1:2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2.75" customHeight="1" spans="1:2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2.75" customHeight="1" spans="1:2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2.75" customHeight="1" spans="1:2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2.75" customHeight="1" spans="1:2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2.75" customHeight="1" spans="1:2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2.75" customHeight="1" spans="1:2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2.75" customHeight="1" spans="1:2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2.75" customHeight="1" spans="1:2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2.75" customHeight="1" spans="1:2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2.75" customHeight="1" spans="1:2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2.75" customHeight="1" spans="1:2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2.75" customHeight="1" spans="1:2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2.75" customHeight="1" spans="1:2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2.75" customHeight="1" spans="1:2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2.75" customHeight="1" spans="1:2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2.75" customHeight="1" spans="1:2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2.75" customHeight="1" spans="1:2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2.75" customHeight="1" spans="1:2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2.75" customHeight="1" spans="1:2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2.75" customHeight="1" spans="1:2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2.75" customHeight="1" spans="1:2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2.75" customHeight="1" spans="1:2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2.75" customHeight="1" spans="1:2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2.75" customHeight="1" spans="1:2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2.75" customHeight="1" spans="1:2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2.75" customHeight="1" spans="1:2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2.75" customHeight="1" spans="1:2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2.75" customHeight="1" spans="1: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2.75" customHeight="1" spans="1:2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2.75" customHeight="1" spans="1:2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2.75" customHeight="1" spans="1:2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2.75" customHeight="1" spans="1:2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2.75" customHeight="1" spans="1:2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2.75" customHeight="1" spans="1:2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2.75" customHeight="1" spans="1:2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2.75" customHeight="1" spans="1:2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2.75" customHeight="1" spans="1:2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2.75" customHeight="1" spans="1:2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2.75" customHeight="1" spans="1:2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2.75" customHeight="1" spans="1:2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2.75" customHeight="1" spans="1:2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2.75" customHeight="1" spans="1:2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2.75" customHeight="1" spans="1:2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2.75" customHeight="1" spans="1:2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2.75" customHeight="1" spans="1:2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2.75" customHeight="1" spans="1:2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2.75" customHeight="1" spans="1:2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2.75" customHeight="1" spans="1:2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2.75" customHeight="1" spans="1:2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2.75" customHeight="1" spans="1:2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2.75" customHeight="1" spans="1:2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2.75" customHeight="1" spans="1:2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2.75" customHeight="1" spans="1:2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2.75" customHeight="1" spans="1:2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2.75" customHeight="1" spans="1:2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2.75" customHeight="1" spans="1:2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2.75" customHeight="1" spans="1:2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2.75" customHeight="1" spans="1:2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2.75" customHeight="1" spans="1:2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2.75" customHeight="1" spans="1:2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2.75" customHeight="1" spans="1:2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2.75" customHeight="1" spans="1:2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2.75" customHeight="1" spans="1:2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2.75" customHeight="1" spans="1:2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2.75" customHeight="1" spans="1:2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2.75" customHeight="1" spans="1:2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2.75" customHeight="1" spans="1:2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2.75" customHeight="1" spans="1:2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2.75" customHeight="1" spans="1:2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2.75" customHeight="1" spans="1:2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2.75" customHeight="1" spans="1:2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2.75" customHeight="1" spans="1:2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2.75" customHeight="1" spans="1:2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2.75" customHeight="1" spans="1:2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2.75" customHeight="1" spans="1:2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2.75" customHeight="1" spans="1:2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2.75" customHeight="1" spans="1:2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2.75" customHeight="1" spans="1:2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2.75" customHeight="1" spans="1:2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2.75" customHeight="1" spans="1:2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2.75" customHeight="1" spans="1:2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2.75" customHeight="1" spans="1:2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2.75" customHeight="1" spans="1:2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2.75" customHeight="1" spans="1:2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2.75" customHeight="1" spans="1:2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2.75" customHeight="1" spans="1:2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2.75" customHeight="1" spans="1:2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2.75" customHeight="1" spans="1:2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2.75" customHeight="1" spans="1:2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2.75" customHeight="1" spans="1:2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2.75" customHeight="1" spans="1:2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2.75" customHeight="1" spans="1:2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2.75" customHeight="1" spans="1:2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2.75" customHeight="1" spans="1:2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2.75" customHeight="1" spans="1:2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2.75" customHeight="1" spans="1:2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2.75" customHeight="1" spans="1:2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2.75" customHeight="1" spans="1:2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2.75" customHeight="1" spans="1:2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2.75" customHeight="1" spans="1:2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2.75" customHeight="1" spans="1:2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2.75" customHeight="1" spans="1:2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2.75" customHeight="1" spans="1:2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2.75" customHeight="1" spans="1:2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2.75" customHeight="1" spans="1:2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2.75" customHeight="1" spans="1:2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2.75" customHeight="1" spans="1:2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2.75" customHeight="1" spans="1:2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2.75" customHeight="1" spans="1:2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2.75" customHeight="1" spans="1:2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2.75" customHeight="1" spans="1:2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2.75" customHeight="1" spans="1:2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2.75" customHeight="1" spans="1:2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2.75" customHeight="1" spans="1:2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2.75" customHeight="1" spans="1:2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2.75" customHeight="1" spans="1:2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2.75" customHeight="1" spans="1:2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2.75" customHeight="1" spans="1:2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2.75" customHeight="1" spans="1:2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2.75" customHeight="1" spans="1:2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2.75" customHeight="1" spans="1:2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2.75" customHeight="1" spans="1:2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2.75" customHeight="1" spans="1:2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2.75" customHeight="1" spans="1:2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2.75" customHeight="1" spans="1:2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2.75" customHeight="1" spans="1:2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2.75" customHeight="1" spans="1:2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2.75" customHeight="1" spans="1: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2.75" customHeight="1" spans="1:2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2.75" customHeight="1" spans="1:2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2.75" customHeight="1" spans="1:2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2.75" customHeight="1" spans="1:2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2.75" customHeight="1" spans="1:2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2.75" customHeight="1" spans="1:2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2.75" customHeight="1" spans="1:2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2.75" customHeight="1" spans="1:2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2.75" customHeight="1" spans="1:2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2.75" customHeight="1" spans="1:2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2.75" customHeight="1" spans="1:2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2.75" customHeight="1" spans="1:2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2.75" customHeight="1" spans="1:2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2.75" customHeight="1" spans="1:2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2.75" customHeight="1" spans="1:2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2.75" customHeight="1" spans="1:2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2.75" customHeight="1" spans="1:2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2.75" customHeight="1" spans="1:2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2.75" customHeight="1" spans="1:2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2.75" customHeight="1" spans="1:2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2.75" customHeight="1" spans="1:2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2.75" customHeight="1" spans="1:2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2.75" customHeight="1" spans="1:2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2.75" customHeight="1" spans="1:2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2.75" customHeight="1" spans="1:2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2.75" customHeight="1" spans="1:2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2.75" customHeight="1" spans="1:2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2.75" customHeight="1" spans="1:2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2.75" customHeight="1" spans="1:2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2.75" customHeight="1" spans="1:2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2.75" customHeight="1" spans="1:2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2.75" customHeight="1" spans="1:2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2.75" customHeight="1" spans="1:2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2.75" customHeight="1" spans="1:2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2.75" customHeight="1" spans="1:2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2.75" customHeight="1" spans="1:2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2.75" customHeight="1" spans="1:2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2.75" customHeight="1" spans="1:2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2.75" customHeight="1" spans="1:2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2.75" customHeight="1" spans="1:2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2.75" customHeight="1" spans="1:2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2.75" customHeight="1" spans="1:2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2.75" customHeight="1" spans="1:2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2.75" customHeight="1" spans="1:2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2.75" customHeight="1" spans="1:2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2.75" customHeight="1" spans="1:2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2.75" customHeight="1" spans="1:2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2.75" customHeight="1" spans="1:2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2.75" customHeight="1" spans="1:2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2.75" customHeight="1" spans="1:2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2.75" customHeight="1" spans="1:2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2.75" customHeight="1" spans="1:2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2.75" customHeight="1" spans="1:2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2.75" customHeight="1" spans="1:2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2.75" customHeight="1" spans="1:2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2.75" customHeight="1" spans="1:2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2.75" customHeight="1" spans="1:2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2.75" customHeight="1" spans="1:2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2.75" customHeight="1" spans="1:2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2.75" customHeight="1" spans="1:2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2.75" customHeight="1" spans="1:2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2.75" customHeight="1" spans="1:2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2.75" customHeight="1" spans="1:2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2.75" customHeight="1" spans="1:2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2.75" customHeight="1" spans="1:2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2.75" customHeight="1" spans="1:2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2.75" customHeight="1" spans="1:2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2.75" customHeight="1" spans="1:2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2.75" customHeight="1" spans="1:2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2.75" customHeight="1" spans="1:2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2.75" customHeight="1" spans="1:2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2.75" customHeight="1" spans="1:2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2.75" customHeight="1" spans="1:2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2.75" customHeight="1" spans="1:2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2.75" customHeight="1" spans="1:2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2.75" customHeight="1" spans="1:2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2.75" customHeight="1" spans="1:2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2.75" customHeight="1" spans="1:2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2.75" customHeight="1" spans="1:2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2.75" customHeight="1" spans="1:2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2.75" customHeight="1" spans="1:2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2.75" customHeight="1" spans="1:2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2.75" customHeight="1" spans="1:2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2.75" customHeight="1" spans="1:2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2.75" customHeight="1" spans="1:2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2.75" customHeight="1" spans="1:2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2.75" customHeight="1" spans="1:2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2.75" customHeight="1" spans="1:2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2.75" customHeight="1" spans="1:2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2.75" customHeight="1" spans="1:2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2.75" customHeight="1" spans="1:2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2.75" customHeight="1" spans="1:2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2.75" customHeight="1" spans="1:2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2.75" customHeight="1" spans="1:2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2.75" customHeight="1" spans="1:2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2.75" customHeight="1" spans="1:2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2.75" customHeight="1" spans="1:2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2.75" customHeight="1" spans="1:2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2.75" customHeight="1" spans="1:2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2.75" customHeight="1" spans="1: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2.75" customHeight="1" spans="1:2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2.75" customHeight="1" spans="1:2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2.75" customHeight="1" spans="1:2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2.75" customHeight="1" spans="1:2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2.75" customHeight="1" spans="1:2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2.75" customHeight="1" spans="1:2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2.75" customHeight="1" spans="1:2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2.75" customHeight="1" spans="1:2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2.75" customHeight="1" spans="1:2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2.75" customHeight="1" spans="1:2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2.75" customHeight="1" spans="1:2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2.75" customHeight="1" spans="1:2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2.75" customHeight="1" spans="1:2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2.75" customHeight="1" spans="1:2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2.75" customHeight="1" spans="1:2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2.75" customHeight="1" spans="1:2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2.75" customHeight="1" spans="1:2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2.75" customHeight="1" spans="1:2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2.75" customHeight="1" spans="1:2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2.75" customHeight="1" spans="1:2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2.75" customHeight="1" spans="1:2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2.75" customHeight="1" spans="1:2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2.75" customHeight="1" spans="1:2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2.75" customHeight="1" spans="1:2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2.75" customHeight="1" spans="1:2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2.75" customHeight="1" spans="1:2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2.75" customHeight="1" spans="1:2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2.75" customHeight="1" spans="1:2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2.75" customHeight="1" spans="1:2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2.75" customHeight="1" spans="1:2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2.75" customHeight="1" spans="1:2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2.75" customHeight="1" spans="1:2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2.75" customHeight="1" spans="1:2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2.75" customHeight="1" spans="1:2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2.75" customHeight="1" spans="1:2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2.75" customHeight="1" spans="1:2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2.75" customHeight="1" spans="1:2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2.75" customHeight="1" spans="1:2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2.75" customHeight="1" spans="1:2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2.75" customHeight="1" spans="1:2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2.75" customHeight="1" spans="1:2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2.75" customHeight="1" spans="1:2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2.75" customHeight="1" spans="1:2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2.75" customHeight="1" spans="1:2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2.75" customHeight="1" spans="1:2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2.75" customHeight="1" spans="1:2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2.75" customHeight="1" spans="1:2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2.75" customHeight="1" spans="1:2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2.75" customHeight="1" spans="1:2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2.75" customHeight="1" spans="1:2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2.75" customHeight="1" spans="1:2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2.75" customHeight="1" spans="1:2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2.75" customHeight="1" spans="1:2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2.75" customHeight="1" spans="1:2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2.75" customHeight="1" spans="1:2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2.75" customHeight="1" spans="1:2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2.75" customHeight="1" spans="1:2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2.75" customHeight="1" spans="1:2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2.75" customHeight="1" spans="1:2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2.75" customHeight="1" spans="1:2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2.75" customHeight="1" spans="1:2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2.75" customHeight="1" spans="1:2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2.75" customHeight="1" spans="1:2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2.75" customHeight="1" spans="1:2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2.75" customHeight="1" spans="1:2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2.75" customHeight="1" spans="1:2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2.75" customHeight="1" spans="1:2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2.75" customHeight="1" spans="1:2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2.75" customHeight="1" spans="1:2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2.75" customHeight="1" spans="1:2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2.75" customHeight="1" spans="1:2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2.75" customHeight="1" spans="1:2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2.75" customHeight="1" spans="1:2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2.75" customHeight="1" spans="1:2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2.75" customHeight="1" spans="1:2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2.75" customHeight="1" spans="1:2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2.75" customHeight="1" spans="1:2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2.75" customHeight="1" spans="1:2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2.75" customHeight="1" spans="1:2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2.75" customHeight="1" spans="1:2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2.75" customHeight="1" spans="1:2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2.75" customHeight="1" spans="1:2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2.75" customHeight="1" spans="1:2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2.75" customHeight="1" spans="1:2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2.75" customHeight="1" spans="1:2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2.75" customHeight="1" spans="1:2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2.75" customHeight="1" spans="1:2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2.75" customHeight="1" spans="1:2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2.75" customHeight="1" spans="1:2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2.75" customHeight="1" spans="1:2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2.75" customHeight="1" spans="1:2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2.75" customHeight="1" spans="1:2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2.75" customHeight="1" spans="1:2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2.75" customHeight="1" spans="1:2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2.75" customHeight="1" spans="1:2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2.75" customHeight="1" spans="1:2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2.75" customHeight="1" spans="1:2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2.75" customHeight="1" spans="1:2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2.75" customHeight="1" spans="1:2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2.75" customHeight="1" spans="1: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2.75" customHeight="1" spans="1:2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2.75" customHeight="1" spans="1:2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2.75" customHeight="1" spans="1:2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2.75" customHeight="1" spans="1:2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2.75" customHeight="1" spans="1:2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2.75" customHeight="1" spans="1:2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2.75" customHeight="1" spans="1:2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2.75" customHeight="1" spans="1:2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2.75" customHeight="1" spans="1:2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2.75" customHeight="1" spans="1:2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2.75" customHeight="1" spans="1:2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2.75" customHeight="1" spans="1:2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2.75" customHeight="1" spans="1:2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2.75" customHeight="1" spans="1:2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2.75" customHeight="1" spans="1:2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2.75" customHeight="1" spans="1:2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2.75" customHeight="1" spans="1:2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2.75" customHeight="1" spans="1:2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2.75" customHeight="1" spans="1:2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2.75" customHeight="1" spans="1:2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2.75" customHeight="1" spans="1:2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2.75" customHeight="1" spans="1:2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2.75" customHeight="1" spans="1:2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2.75" customHeight="1" spans="1:2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2.75" customHeight="1" spans="1:2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2.75" customHeight="1" spans="1:2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2.75" customHeight="1" spans="1:2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2.75" customHeight="1" spans="1:2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2.75" customHeight="1" spans="1:2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2.75" customHeight="1" spans="1:2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2.75" customHeight="1" spans="1:2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2.75" customHeight="1" spans="1:2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2.75" customHeight="1" spans="1:2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2.75" customHeight="1" spans="1:2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2.75" customHeight="1" spans="1:2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2.75" customHeight="1" spans="1:2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2.75" customHeight="1" spans="1:2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2.75" customHeight="1" spans="1:2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2.75" customHeight="1" spans="1:2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2.75" customHeight="1" spans="1:2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2.75" customHeight="1" spans="1:2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2.75" customHeight="1" spans="1:2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2.75" customHeight="1" spans="1:2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2.75" customHeight="1" spans="1:2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2.75" customHeight="1" spans="1:2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2.75" customHeight="1" spans="1:2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2.75" customHeight="1" spans="1:2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2.75" customHeight="1" spans="1:2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2.75" customHeight="1" spans="1:2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2.75" customHeight="1" spans="1:2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2.75" customHeight="1" spans="1:2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2.75" customHeight="1" spans="1:2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2.75" customHeight="1" spans="1:2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2.75" customHeight="1" spans="1:2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2.75" customHeight="1" spans="1:2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2.75" customHeight="1" spans="1:2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2.75" customHeight="1" spans="1:2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2.75" customHeight="1" spans="1:2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2.75" customHeight="1" spans="1:2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2.75" customHeight="1" spans="1:2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2.75" customHeight="1" spans="1:2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2.75" customHeight="1" spans="1:2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2.75" customHeight="1" spans="1:2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2.75" customHeight="1" spans="1:2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2.75" customHeight="1" spans="1:2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2.75" customHeight="1" spans="1:2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2.75" customHeight="1" spans="1:2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2.75" customHeight="1" spans="1:2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2.75" customHeight="1" spans="1:2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2.75" customHeight="1" spans="1:2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2.75" customHeight="1" spans="1:2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2.75" customHeight="1" spans="1:2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2.75" customHeight="1" spans="1:2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2.75" customHeight="1" spans="1:2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2.75" customHeight="1" spans="1:2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2.75" customHeight="1" spans="1:2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2.75" customHeight="1" spans="1:2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2.75" customHeight="1" spans="1:2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2.75" customHeight="1" spans="1:2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2.75" customHeight="1" spans="1:2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2.75" customHeight="1" spans="1:2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2.75" customHeight="1" spans="1:2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2.75" customHeight="1" spans="1:2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2.75" customHeight="1" spans="1:2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2.75" customHeight="1" spans="1:2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2.75" customHeight="1" spans="1:2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2.75" customHeight="1" spans="1:2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2.75" customHeight="1" spans="1:2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2.75" customHeight="1" spans="1:2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2.75" customHeight="1" spans="1:2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2.75" customHeight="1" spans="1:2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2.75" customHeight="1" spans="1:2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2.75" customHeight="1" spans="1:2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2.75" customHeight="1" spans="1:2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2.75" customHeight="1" spans="1:2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2.75" customHeight="1" spans="1:2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2.75" customHeight="1" spans="1:2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2.75" customHeight="1" spans="1:2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2.75" customHeight="1" spans="1:2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2.75" customHeight="1" spans="1: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2.75" customHeight="1" spans="1:2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2.75" customHeight="1" spans="1:2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2.75" customHeight="1" spans="1:2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2.75" customHeight="1" spans="1:2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2.75" customHeight="1" spans="1:2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2.75" customHeight="1" spans="1:2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2.75" customHeight="1" spans="1:2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2.75" customHeight="1" spans="1:2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2.75" customHeight="1" spans="1:2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2.75" customHeight="1" spans="1:2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2.75" customHeight="1" spans="1:2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2.75" customHeight="1" spans="1:2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2.75" customHeight="1" spans="1:2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2.75" customHeight="1" spans="1:2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2.75" customHeight="1" spans="1:2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2.75" customHeight="1" spans="1:2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2.75" customHeight="1" spans="1:2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2.75" customHeight="1" spans="1:2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2.75" customHeight="1" spans="1:2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2.75" customHeight="1" spans="1:2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2.75" customHeight="1" spans="1:2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2.75" customHeight="1" spans="1:2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2.75" customHeight="1" spans="1:2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2.75" customHeight="1" spans="1:2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2.75" customHeight="1" spans="1:2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2.75" customHeight="1" spans="1:2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2.75" customHeight="1" spans="1:2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2.75" customHeight="1" spans="1:2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2.75" customHeight="1" spans="1:2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2.75" customHeight="1" spans="1:2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2.75" customHeight="1" spans="1:2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2.75" customHeight="1" spans="1:2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2.75" customHeight="1" spans="1:2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2.75" customHeight="1" spans="1:2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2.75" customHeight="1" spans="1:2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2.75" customHeight="1" spans="1:2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2.75" customHeight="1" spans="1:2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2.75" customHeight="1" spans="1:2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2.75" customHeight="1" spans="1:2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2.75" customHeight="1" spans="1:2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2.75" customHeight="1" spans="1:2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2.75" customHeight="1" spans="1:2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2.75" customHeight="1" spans="1:2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2.75" customHeight="1" spans="1:2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2.75" customHeight="1" spans="1:2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2.75" customHeight="1" spans="1:2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2.75" customHeight="1" spans="1:2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2.75" customHeight="1" spans="1:2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2.75" customHeight="1" spans="1:2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2.75" customHeight="1" spans="1:2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2.75" customHeight="1" spans="1:2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2.75" customHeight="1" spans="1:2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2.75" customHeight="1" spans="1:2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2.75" customHeight="1" spans="1:2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2.75" customHeight="1" spans="1:2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2.75" customHeight="1" spans="1:2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2.75" customHeight="1" spans="1:2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2.75" customHeight="1" spans="1:2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2.75" customHeight="1" spans="1:2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2.75" customHeight="1" spans="1:2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2.75" customHeight="1" spans="1:2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2.75" customHeight="1" spans="1:2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2.75" customHeight="1" spans="1:2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2.75" customHeight="1" spans="1:2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2.75" customHeight="1" spans="1:2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2.75" customHeight="1" spans="1:2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2.75" customHeight="1" spans="1:2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2.75" customHeight="1" spans="1:2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2.75" customHeight="1" spans="1:2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2.75" customHeight="1" spans="1:2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2.75" customHeight="1" spans="1:2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2.75" customHeight="1" spans="1:2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2.75" customHeight="1" spans="1:2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2.75" customHeight="1" spans="1:2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2.75" customHeight="1" spans="1:2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2.75" customHeight="1" spans="1:2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2.75" customHeight="1" spans="1:2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2.75" customHeight="1" spans="1:2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2.75" customHeight="1" spans="1:2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2.75" customHeight="1" spans="1:2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2.75" customHeight="1" spans="1:2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2.75" customHeight="1" spans="1:2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2.75" customHeight="1" spans="1:2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2.75" customHeight="1" spans="1:2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2.75" customHeight="1" spans="1:2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2.75" customHeight="1" spans="1:2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2.75" customHeight="1" spans="1:2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2.75" customHeight="1" spans="1:2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2.75" customHeight="1" spans="1:2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2.75" customHeight="1" spans="1:2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2.75" customHeight="1" spans="1:2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2.75" customHeight="1" spans="1:2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2.75" customHeight="1" spans="1:2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2.75" customHeight="1" spans="1:2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2.75" customHeight="1" spans="1:2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2.75" customHeight="1" spans="1:2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2.75" customHeight="1" spans="1:2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2.75" customHeight="1" spans="1:2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2.75" customHeight="1" spans="1:2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2.75" customHeight="1" spans="1: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2.75" customHeight="1" spans="1:2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2.75" customHeight="1" spans="1:2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2.75" customHeight="1" spans="1:2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2.75" customHeight="1" spans="1:2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2.75" customHeight="1" spans="1:2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2.75" customHeight="1" spans="1:2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2.75" customHeight="1" spans="1:2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2.75" customHeight="1" spans="1:2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2.75" customHeight="1" spans="1:2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2.75" customHeight="1" spans="1:2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2.75" customHeight="1" spans="1:2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2.75" customHeight="1" spans="1:2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2.75" customHeight="1" spans="1:2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2.75" customHeight="1" spans="1:2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2.75" customHeight="1" spans="1:2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2.75" customHeight="1" spans="1:2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2.75" customHeight="1" spans="1:2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2.75" customHeight="1" spans="1:2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2.75" customHeight="1" spans="1:2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2.75" customHeight="1" spans="1:2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2.75" customHeight="1" spans="1:2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2.75" customHeight="1" spans="1:2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2.75" customHeight="1" spans="1:2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2.75" customHeight="1" spans="1:2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2.75" customHeight="1" spans="1:2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2.75" customHeight="1" spans="1:2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2.75" customHeight="1" spans="1:2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2.75" customHeight="1" spans="1:2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2.75" customHeight="1" spans="1:2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2.75" customHeight="1" spans="1:2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2.75" customHeight="1" spans="1:2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2.75" customHeight="1" spans="1:2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2.75" customHeight="1" spans="1:2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2.75" customHeight="1" spans="1:2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2.75" customHeight="1" spans="1:2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2.75" customHeight="1" spans="1:2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2.75" customHeight="1" spans="1:2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2.75" customHeight="1" spans="1:2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2.75" customHeight="1" spans="1:2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2.75" customHeight="1" spans="1:2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2.75" customHeight="1" spans="1:2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2.75" customHeight="1" spans="1:2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2.75" customHeight="1" spans="1:2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2.75" customHeight="1" spans="1:2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2.75" customHeight="1" spans="1:2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2.75" customHeight="1" spans="1:2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2.75" customHeight="1" spans="1:2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2.75" customHeight="1" spans="1:2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2.75" customHeight="1" spans="1:2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2.75" customHeight="1" spans="1:2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2.75" customHeight="1" spans="1:2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2.75" customHeight="1" spans="1:2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2.75" customHeight="1" spans="1:2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2.75" customHeight="1" spans="1:2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2.75" customHeight="1" spans="1:2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2.75" customHeight="1" spans="1:2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2.75" customHeight="1" spans="1:2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2.75" customHeight="1" spans="1:2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2.75" customHeight="1" spans="1:2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2.75" customHeight="1" spans="1:2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2.75" customHeight="1" spans="1:2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2.75" customHeight="1" spans="1:2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2.75" customHeight="1" spans="1:2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2.75" customHeight="1" spans="1:2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2.75" customHeight="1" spans="1:2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2.75" customHeight="1" spans="1:2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2.75" customHeight="1" spans="1:2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2.75" customHeight="1" spans="1:2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2.75" customHeight="1" spans="1:2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2.75" customHeight="1" spans="1:2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2.75" customHeight="1" spans="1:2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2.75" customHeight="1" spans="1:2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2.75" customHeight="1" spans="1:2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2.75" customHeight="1" spans="1:2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2.75" customHeight="1" spans="1:2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2.75" customHeight="1" spans="1:2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2.75" customHeight="1" spans="1:2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2.75" customHeight="1" spans="1:2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2.75" customHeight="1" spans="1:2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2.75" customHeight="1" spans="1:2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2.75" customHeight="1" spans="1:2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2.75" customHeight="1" spans="1:2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2.75" customHeight="1" spans="1:2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2.75" customHeight="1" spans="1:2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2.75" customHeight="1" spans="1:2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2.75" customHeight="1" spans="1:2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2.75" customHeight="1" spans="1:2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2.75" customHeight="1" spans="1:2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2.75" customHeight="1" spans="1:2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2.75" customHeight="1" spans="1:2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2.75" customHeight="1" spans="1:2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2.75" customHeight="1" spans="1:2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2.75" customHeight="1" spans="1:2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2.75" customHeight="1" spans="1:2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2.75" customHeight="1" spans="1:2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2.75" customHeight="1" spans="1:2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2.75" customHeight="1" spans="1:2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2.75" customHeight="1" spans="1:2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2.75" customHeight="1" spans="1:2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2.75" customHeight="1" spans="1: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2.75" customHeight="1" spans="1:2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2.75" customHeight="1" spans="1:2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2.75" customHeight="1" spans="1:2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2.75" customHeight="1" spans="1:2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2.75" customHeight="1" spans="1:2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2.75" customHeight="1" spans="1:2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2.75" customHeight="1" spans="1:2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2.75" customHeight="1" spans="1:2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2.75" customHeight="1" spans="1:2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2.75" customHeight="1" spans="1:2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2.75" customHeight="1" spans="1:2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2.75" customHeight="1" spans="1:2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2.75" customHeight="1" spans="1:2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2.75" customHeight="1" spans="1:2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2.75" customHeight="1" spans="1:2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2.75" customHeight="1" spans="1:2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2.75" customHeight="1" spans="1:2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2.75" customHeight="1" spans="1:2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2.75" customHeight="1" spans="1:2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2.75" customHeight="1" spans="1:2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2.75" customHeight="1" spans="1:2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2.75" customHeight="1" spans="1:2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2.75" customHeight="1" spans="1:2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2.75" customHeight="1" spans="1:2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2.75" customHeight="1" spans="1:2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2.75" customHeight="1" spans="1:2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2.75" customHeight="1" spans="1:2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2.75" customHeight="1" spans="1:2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2.75" customHeight="1" spans="1:2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2.75" customHeight="1" spans="1:2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2.75" customHeight="1" spans="1:2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2.75" customHeight="1" spans="1:2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2.75" customHeight="1" spans="1:2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2.75" customHeight="1" spans="1:2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2.75" customHeight="1" spans="1:2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2.75" customHeight="1" spans="1:2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2.75" customHeight="1" spans="1:2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2.75" customHeight="1" spans="1:2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2.75" customHeight="1" spans="1:2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2.75" customHeight="1" spans="1:2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2.75" customHeight="1" spans="1:2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2.75" customHeight="1" spans="1:2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2.75" customHeight="1" spans="1:2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2.75" customHeight="1" spans="1:2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2.75" customHeight="1" spans="1:2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2.75" customHeight="1" spans="1:2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2.75" customHeight="1" spans="1:2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2.75" customHeight="1" spans="1:2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2.75" customHeight="1" spans="1:2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2.75" customHeight="1" spans="1:2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2.75" customHeight="1" spans="1:2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2.75" customHeight="1" spans="1:2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2.75" customHeight="1" spans="1:2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2.75" customHeight="1" spans="1:2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2.75" customHeight="1" spans="1:2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2.75" customHeight="1" spans="1:2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2.75" customHeight="1" spans="1:2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2.75" customHeight="1" spans="1:2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2.75" customHeight="1" spans="1:2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2.75" customHeight="1" spans="1:2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2.75" customHeight="1" spans="1:2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2.75" customHeight="1" spans="1:2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2.75" customHeight="1" spans="1:2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2.75" customHeight="1" spans="1:2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2.75" customHeight="1" spans="1:2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2.75" customHeight="1" spans="1:2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2.75" customHeight="1" spans="1:2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2.75" customHeight="1" spans="1:2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2.75" customHeight="1" spans="1:2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2.75" customHeight="1" spans="1:2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2.75" customHeight="1" spans="1:2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2.75" customHeight="1" spans="1:2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2.75" customHeight="1" spans="1:2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2.75" customHeight="1" spans="1:2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2.75" customHeight="1" spans="1:2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2.75" customHeight="1" spans="1:2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2.75" customHeight="1" spans="1:2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pageMargins left="0.7875" right="0.7875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items</vt:lpstr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Augusto Salinas</cp:lastModifiedBy>
  <dcterms:created xsi:type="dcterms:W3CDTF">2024-02-20T22:07:00Z</dcterms:created>
  <cp:lastPrinted>2024-02-21T02:13:00Z</cp:lastPrinted>
  <dcterms:modified xsi:type="dcterms:W3CDTF">2025-12-27T19:06:38Z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AED7AB9E808A431193DB2AF688A8B8C3_12</vt:lpwstr>
  </property>
  <property fmtid="{D5CDD505-2E9C-101B-9397-08002B2CF9AE}" pid="3" name="KSOProductBuildVer">
    <vt:lpwstr>1033-12.2.0.23155</vt:lpwstr>
  </property>
</Properties>
</file>